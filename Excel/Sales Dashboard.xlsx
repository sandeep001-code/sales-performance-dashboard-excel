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pivotTables/pivotTable7.xml" ContentType="application/vnd.openxmlformats-officedocument.spreadsheetml.pivotTable+xml"/>
  <Override PartName="/xl/pivotTables/pivotTable8.xml" ContentType="application/vnd.openxmlformats-officedocument.spreadsheetml.pivotTable+xml"/>
  <Override PartName="/xl/pivotTables/pivotTable9.xml" ContentType="application/vnd.openxmlformats-officedocument.spreadsheetml.pivotTable+xml"/>
  <Override PartName="/xl/pivotTables/pivotTable10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Lenovo\Downloads\"/>
    </mc:Choice>
  </mc:AlternateContent>
  <xr:revisionPtr revIDLastSave="0" documentId="8_{CF1384E8-3EE1-4BA3-A0EE-AC47799E90BA}" xr6:coauthVersionLast="47" xr6:coauthVersionMax="47" xr10:uidLastSave="{00000000-0000-0000-0000-000000000000}"/>
  <bookViews>
    <workbookView xWindow="-120" yWindow="-120" windowWidth="20730" windowHeight="11160" activeTab="2" xr2:uid="{00000000-000D-0000-FFFF-FFFF00000000}"/>
  </bookViews>
  <sheets>
    <sheet name=" Sales analysis" sheetId="1" r:id="rId1"/>
    <sheet name=" Pivot analysis" sheetId="2" r:id="rId2"/>
    <sheet name="Interactive Dashboard" sheetId="3" r:id="rId3"/>
    <sheet name="_Dashboard_Helper" sheetId="4" state="hidden" r:id="rId4"/>
  </sheets>
  <calcPr calcId="191029" forceFullCalc="1"/>
  <pivotCaches>
    <pivotCache cacheId="15" r:id="rId5"/>
    <pivotCache cacheId="12" r:id="rId6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F13" i="4" l="1"/>
  <c r="F12" i="4"/>
  <c r="F11" i="4"/>
  <c r="P10" i="4"/>
  <c r="F10" i="4"/>
  <c r="P9" i="4"/>
  <c r="F9" i="4"/>
  <c r="P8" i="4"/>
  <c r="F8" i="4"/>
  <c r="P7" i="4"/>
  <c r="F7" i="4"/>
  <c r="P6" i="4"/>
  <c r="F6" i="4"/>
  <c r="P5" i="4"/>
  <c r="M5" i="4"/>
  <c r="F5" i="4"/>
  <c r="P4" i="4"/>
  <c r="M4" i="4"/>
  <c r="F4" i="4"/>
  <c r="P3" i="4"/>
  <c r="M3" i="4"/>
  <c r="J3" i="4"/>
  <c r="F3" i="4"/>
  <c r="P2" i="4"/>
  <c r="M2" i="4"/>
  <c r="J2" i="4"/>
  <c r="F2" i="4"/>
  <c r="I7" i="3"/>
  <c r="E7" i="3"/>
  <c r="A7" i="3"/>
  <c r="M7" i="3" s="1"/>
  <c r="I3" i="2"/>
  <c r="S11" i="4" l="1"/>
  <c r="R11" i="4" s="1"/>
  <c r="S10" i="4"/>
  <c r="R10" i="4" s="1"/>
  <c r="S9" i="4"/>
  <c r="R9" i="4" s="1"/>
  <c r="S8" i="4"/>
  <c r="R8" i="4" s="1"/>
  <c r="S7" i="4"/>
  <c r="R7" i="4" s="1"/>
  <c r="S5" i="4"/>
  <c r="R5" i="4" s="1"/>
  <c r="S4" i="4"/>
  <c r="R4" i="4" s="1"/>
  <c r="S3" i="4"/>
  <c r="R3" i="4" s="1"/>
  <c r="S2" i="4"/>
  <c r="R2" i="4" s="1"/>
  <c r="S6" i="4"/>
  <c r="R6" i="4" s="1"/>
</calcChain>
</file>

<file path=xl/sharedStrings.xml><?xml version="1.0" encoding="utf-8"?>
<sst xmlns="http://schemas.openxmlformats.org/spreadsheetml/2006/main" count="5132" uniqueCount="67">
  <si>
    <t>Sales analysis</t>
  </si>
  <si>
    <t>Count of Order_ID</t>
  </si>
  <si>
    <t>Sum of Quantity</t>
  </si>
  <si>
    <t>Average Order Value</t>
  </si>
  <si>
    <t>Sum of Sales</t>
  </si>
  <si>
    <t>Category</t>
  </si>
  <si>
    <t>Region</t>
  </si>
  <si>
    <t>Order_Date</t>
  </si>
  <si>
    <t>Furniture</t>
  </si>
  <si>
    <t>East</t>
  </si>
  <si>
    <t>Technology</t>
  </si>
  <si>
    <t>North</t>
  </si>
  <si>
    <t>South</t>
  </si>
  <si>
    <t>West</t>
  </si>
  <si>
    <t>Profit analysis</t>
  </si>
  <si>
    <t>Customer</t>
  </si>
  <si>
    <t>Sum of Profit</t>
  </si>
  <si>
    <t>Aarav</t>
  </si>
  <si>
    <t>Ananya</t>
  </si>
  <si>
    <t>Neha</t>
  </si>
  <si>
    <t>Priya</t>
  </si>
  <si>
    <t>Rahul</t>
  </si>
  <si>
    <t>Rohan</t>
  </si>
  <si>
    <t>Sneha</t>
  </si>
  <si>
    <t>Unknown</t>
  </si>
  <si>
    <t>Vikram</t>
  </si>
  <si>
    <t>Order_ID</t>
  </si>
  <si>
    <t>Product</t>
  </si>
  <si>
    <t>Quantity</t>
  </si>
  <si>
    <t>Sales</t>
  </si>
  <si>
    <t>Discount</t>
  </si>
  <si>
    <t>Profit</t>
  </si>
  <si>
    <t>clean category</t>
  </si>
  <si>
    <t>Desk</t>
  </si>
  <si>
    <t>Monitor</t>
  </si>
  <si>
    <t>Headphones</t>
  </si>
  <si>
    <t>Keyboard</t>
  </si>
  <si>
    <t>Chair</t>
  </si>
  <si>
    <t>Mouse</t>
  </si>
  <si>
    <t>Printer</t>
  </si>
  <si>
    <t>Laptop</t>
  </si>
  <si>
    <t>CATEGORY</t>
  </si>
  <si>
    <t>REGION</t>
  </si>
  <si>
    <t>All</t>
  </si>
  <si>
    <t>CUSTOMER</t>
  </si>
  <si>
    <t>TOTAL SALES</t>
  </si>
  <si>
    <t>TOTAL ORDERS</t>
  </si>
  <si>
    <t>TOTAL QUANTITY</t>
  </si>
  <si>
    <t>AVERAGE ORDER VALUE</t>
  </si>
  <si>
    <t>Use the filters above to interactively analyze sales performance.</t>
  </si>
  <si>
    <t>Month</t>
  </si>
  <si>
    <t>Top Customer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</si>
  <si>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</si>
  <si>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</si>
  <si>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</si>
  <si>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</si>
  <si>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</si>
  <si>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</si>
  <si>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</si>
  <si>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</si>
  <si>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</si>
  <si>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</si>
  <si>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</si>
  <si>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</si>
  <si>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SALES ANALYTICS DASHBOARD</t>
  </si>
  <si>
    <t>Row Labels</t>
  </si>
  <si>
    <t>Grand 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</si>
</sst>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\₹#,##0.00"/>
  </numFmts>
  <fonts count="10" x14ac:knownFonts="1">
    <font>
      <sz val="11"/>
      <color theme="1"/>
      <name val="Calibri"/>
      <family val="2"/>
      <charset val="1"/>
    </font>
    <font>
      <b/>
      <sz val="11"/>
      <color theme="1"/>
      <name val="Calibri"/>
      <family val="2"/>
      <charset val="1"/>
    </font>
    <font>
      <b/>
      <sz val="14"/>
      <color theme="1"/>
      <name val="Calibri"/>
      <family val="2"/>
      <charset val="1"/>
    </font>
    <font>
      <b/>
      <sz val="20"/>
      <color rgb="FFFFFFFF"/>
      <name val="Cambria"/>
      <family val="1"/>
    </font>
    <font>
      <b/>
      <sz val="10"/>
      <color rgb="FFFFFFFF"/>
      <name val="Cambria"/>
      <family val="1"/>
    </font>
    <font>
      <b/>
      <sz val="10"/>
      <color rgb="FF17365D"/>
      <name val="Cambria"/>
      <family val="1"/>
    </font>
    <font>
      <b/>
      <sz val="13"/>
      <color rgb="FF17365D"/>
      <name val="Cambria"/>
      <family val="1"/>
    </font>
    <font>
      <i/>
      <sz val="10"/>
      <color rgb="FF666666"/>
      <name val="Cambria"/>
      <family val="1"/>
    </font>
    <font>
      <sz val="11"/>
      <color theme="1"/>
      <name val="Calibri"/>
      <family val="2"/>
      <charset val="1"/>
    </font>
    <font>
      <b/>
      <sz val="20"/>
      <color rgb="FFFFFFFF"/>
      <name val="Calibri"/>
      <family val="2"/>
    </font>
  </fonts>
  <fills count="6">
    <fill>
      <patternFill patternType="none"/>
    </fill>
    <fill>
      <patternFill patternType="gray125"/>
    </fill>
    <fill>
      <patternFill patternType="solid">
        <fgColor rgb="FF1F4E78"/>
        <bgColor rgb="FF17365D"/>
      </patternFill>
    </fill>
    <fill>
      <patternFill patternType="solid">
        <fgColor rgb="FF17365D"/>
        <bgColor rgb="FF333333"/>
      </patternFill>
    </fill>
    <fill>
      <patternFill patternType="solid">
        <fgColor rgb="FFD9EAF7"/>
        <bgColor rgb="FFEEF5FB"/>
      </patternFill>
    </fill>
    <fill>
      <patternFill patternType="solid">
        <fgColor rgb="FFEEF5FB"/>
        <bgColor rgb="FFFFFFFF"/>
      </patternFill>
    </fill>
  </fills>
  <borders count="12">
    <border>
      <left/>
      <right/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rgb="FFB4C7E7"/>
      </left>
      <right style="thin">
        <color rgb="FFB4C7E7"/>
      </right>
      <top style="thin">
        <color rgb="FFB4C7E7"/>
      </top>
      <bottom style="thin">
        <color rgb="FFB4C7E7"/>
      </bottom>
      <diagonal/>
    </border>
    <border>
      <left style="thin">
        <color rgb="FFB4C7E7"/>
      </left>
      <right/>
      <top style="thin">
        <color rgb="FFB4C7E7"/>
      </top>
      <bottom style="thin">
        <color rgb="FFB4C7E7"/>
      </bottom>
      <diagonal/>
    </border>
    <border>
      <left/>
      <right/>
      <top style="thin">
        <color rgb="FFB4C7E7"/>
      </top>
      <bottom/>
      <diagonal/>
    </border>
    <border>
      <left/>
      <right style="thin">
        <color rgb="FFB4C7E7"/>
      </right>
      <top style="thin">
        <color rgb="FFB4C7E7"/>
      </top>
      <bottom/>
      <diagonal/>
    </border>
    <border>
      <left/>
      <right style="thin">
        <color rgb="FFB4C7E7"/>
      </right>
      <top style="thin">
        <color rgb="FFB4C7E7"/>
      </top>
      <bottom style="thin">
        <color rgb="FFB4C7E7"/>
      </bottom>
      <diagonal/>
    </border>
    <border>
      <left/>
      <right/>
      <top style="thin">
        <color rgb="FFB4C7E7"/>
      </top>
      <bottom style="thin">
        <color rgb="FFB4C7E7"/>
      </bottom>
      <diagonal/>
    </border>
    <border>
      <left style="thin">
        <color rgb="FFB4C7E7"/>
      </left>
      <right/>
      <top/>
      <bottom style="thin">
        <color rgb="FFB4C7E7"/>
      </bottom>
      <diagonal/>
    </border>
    <border>
      <left/>
      <right/>
      <top/>
      <bottom style="thin">
        <color rgb="FFB4C7E7"/>
      </bottom>
      <diagonal/>
    </border>
    <border>
      <left/>
      <right style="thin">
        <color rgb="FFB4C7E7"/>
      </right>
      <top/>
      <bottom style="thin">
        <color rgb="FFB4C7E7"/>
      </bottom>
      <diagonal/>
    </border>
  </borders>
  <cellStyleXfs count="7">
    <xf numFmtId="0" fontId="0" fillId="0" borderId="0"/>
    <xf numFmtId="0" fontId="8" fillId="0" borderId="0"/>
    <xf numFmtId="0" fontId="8" fillId="0" borderId="0"/>
    <xf numFmtId="0" fontId="8" fillId="0" borderId="0"/>
    <xf numFmtId="0" fontId="8" fillId="0" borderId="0">
      <alignment horizontal="left"/>
    </xf>
    <xf numFmtId="0" fontId="1" fillId="0" borderId="0">
      <alignment horizontal="left"/>
    </xf>
    <xf numFmtId="0" fontId="1" fillId="0" borderId="0"/>
  </cellStyleXfs>
  <cellXfs count="27">
    <xf numFmtId="0" fontId="0" fillId="0" borderId="0" xfId="0"/>
    <xf numFmtId="0" fontId="0" fillId="0" borderId="0" xfId="0" applyAlignment="1">
      <alignment horizontal="center"/>
    </xf>
    <xf numFmtId="14" fontId="0" fillId="0" borderId="0" xfId="0" applyNumberFormat="1" applyAlignment="1">
      <alignment horizontal="center"/>
    </xf>
    <xf numFmtId="9" fontId="0" fillId="0" borderId="0" xfId="0" applyNumberFormat="1" applyAlignment="1">
      <alignment horizontal="center"/>
    </xf>
    <xf numFmtId="0" fontId="2" fillId="0" borderId="0" xfId="0" applyFont="1"/>
    <xf numFmtId="0" fontId="0" fillId="0" borderId="1" xfId="0" applyBorder="1"/>
    <xf numFmtId="0" fontId="0" fillId="0" borderId="2" xfId="0" applyBorder="1"/>
    <xf numFmtId="2" fontId="0" fillId="0" borderId="0" xfId="0" applyNumberFormat="1"/>
    <xf numFmtId="0" fontId="3" fillId="3" borderId="0" xfId="0" applyFont="1" applyFill="1" applyAlignment="1">
      <alignment horizontal="center" vertical="center"/>
    </xf>
    <xf numFmtId="0" fontId="4" fillId="2" borderId="3" xfId="0" applyFont="1" applyFill="1" applyBorder="1" applyAlignment="1">
      <alignment horizontal="center" vertical="center"/>
    </xf>
    <xf numFmtId="0" fontId="0" fillId="0" borderId="7" xfId="0" applyBorder="1"/>
    <xf numFmtId="0" fontId="5" fillId="4" borderId="4" xfId="0" applyFont="1" applyFill="1" applyBorder="1" applyAlignment="1">
      <alignment horizontal="center" vertical="center"/>
    </xf>
    <xf numFmtId="0" fontId="0" fillId="0" borderId="8" xfId="0" applyBorder="1"/>
    <xf numFmtId="0" fontId="4" fillId="2" borderId="3" xfId="0" applyFont="1" applyFill="1" applyBorder="1" applyAlignment="1">
      <alignment horizontal="center" vertical="center" wrapText="1"/>
    </xf>
    <xf numFmtId="0" fontId="7" fillId="3" borderId="0" xfId="0" applyFont="1" applyFill="1" applyAlignment="1">
      <alignment horizontal="center"/>
    </xf>
    <xf numFmtId="0" fontId="0" fillId="0" borderId="0" xfId="0"/>
    <xf numFmtId="164" fontId="6" fillId="5" borderId="3" xfId="0" applyNumberFormat="1" applyFont="1" applyFill="1" applyBorder="1" applyAlignment="1">
      <alignment horizontal="center" vertical="center"/>
    </xf>
    <xf numFmtId="0" fontId="0" fillId="0" borderId="5" xfId="0" applyBorder="1"/>
    <xf numFmtId="0" fontId="0" fillId="0" borderId="6" xfId="0" applyBorder="1"/>
    <xf numFmtId="0" fontId="0" fillId="0" borderId="9" xfId="0" applyBorder="1"/>
    <xf numFmtId="0" fontId="0" fillId="0" borderId="10" xfId="0" applyBorder="1"/>
    <xf numFmtId="0" fontId="0" fillId="0" borderId="11" xfId="0" applyBorder="1"/>
    <xf numFmtId="3" fontId="6" fillId="5" borderId="3" xfId="0" applyNumberFormat="1" applyFont="1" applyFill="1" applyBorder="1" applyAlignment="1">
      <alignment horizontal="center" vertical="center"/>
    </xf>
    <xf numFmtId="0" fontId="9" fillId="2" borderId="0" xfId="0" applyFont="1" applyFill="1" applyAlignment="1">
      <alignment horizontal="center" vertical="center"/>
    </xf>
    <xf numFmtId="0" fontId="0" fillId="0" borderId="0" xfId="0" pivotButton="1"/>
    <xf numFmtId="0" fontId="0" fillId="0" borderId="0" xfId="0" applyAlignment="1">
      <alignment horizontal="left"/>
    </xf>
    <xf numFmtId="14" fontId="0" fillId="0" borderId="0" xfId="0" applyNumberFormat="1"/>
  </cellXfs>
  <cellStyles count="7">
    <cellStyle name="Normal" xfId="0" builtinId="0"/>
    <cellStyle name="Pivot Table Category" xfId="4" xr:uid="{00000000-0005-0000-0000-000009000000}"/>
    <cellStyle name="Pivot Table Corner" xfId="1" xr:uid="{00000000-0005-0000-0000-000006000000}"/>
    <cellStyle name="Pivot Table Field" xfId="3" xr:uid="{00000000-0005-0000-0000-000008000000}"/>
    <cellStyle name="Pivot Table Result" xfId="6" xr:uid="{00000000-0005-0000-0000-00000B000000}"/>
    <cellStyle name="Pivot Table Title" xfId="5" xr:uid="{00000000-0005-0000-0000-00000A000000}"/>
    <cellStyle name="Pivot Table Value" xfId="2" xr:uid="{00000000-0005-0000-0000-000007000000}"/>
  </cellStyles>
  <dxfs count="16"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</dxf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4C7E7"/>
      <rgbColor rgb="FF8B8B8B"/>
      <rgbColor rgb="FF9999FF"/>
      <rgbColor rgb="FF993366"/>
      <rgbColor rgb="FFEEF5FB"/>
      <rgbColor rgb="FFD9EAF7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4472C4"/>
      <rgbColor rgb="FF33CCCC"/>
      <rgbColor rgb="FF99CC00"/>
      <rgbColor rgb="FFFFCC00"/>
      <rgbColor rgb="FFFF9900"/>
      <rgbColor rgb="FFFF6600"/>
      <rgbColor rgb="FF666666"/>
      <rgbColor rgb="FF969696"/>
      <rgbColor rgb="FF17365D"/>
      <rgbColor rgb="FF339966"/>
      <rgbColor rgb="FF003300"/>
      <rgbColor rgb="FF333300"/>
      <rgbColor rgb="FF993300"/>
      <rgbColor rgb="FF993366"/>
      <rgbColor rgb="FF1F4E78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2.xml"/><Relationship Id="rId5" Type="http://schemas.openxmlformats.org/officeDocument/2006/relationships/pivotCacheDefinition" Target="pivotCache/pivotCacheDefinition1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 rot="0"/>
          <a:lstStyle/>
          <a:p>
            <a:pPr>
              <a:defRPr sz="1300" b="0" strike="noStrike">
                <a:uFillTx/>
                <a:latin typeface="Arial"/>
              </a:defRPr>
            </a:pPr>
            <a:r>
              <a:rPr lang="en-US" sz="1800" b="1" strike="noStrike">
                <a:solidFill>
                  <a:srgbClr val="000000"/>
                </a:solidFill>
                <a:uFillTx/>
                <a:latin typeface="Calibri"/>
              </a:rPr>
              <a:t>Monthly Sales Trend</a:t>
            </a:r>
          </a:p>
        </c:rich>
      </c:tx>
      <c:overlay val="0"/>
      <c:spPr>
        <a:noFill/>
        <a:ln w="0">
          <a:noFill/>
          <a:prstDash val="solid"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_Dashboard_Helper!$F$1</c:f>
              <c:strCache>
                <c:ptCount val="1"/>
                <c:pt idx="0">
                  <c:v>Sales</c:v>
                </c:pt>
              </c:strCache>
            </c:strRef>
          </c:tx>
          <c:spPr>
            <a:ln w="19080">
              <a:solidFill>
                <a:srgbClr val="4472C4"/>
              </a:solidFill>
              <a:prstDash val="solid"/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1000" b="0" strike="noStrike">
                    <a:uFillTx/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_Dashboard_Helper!$E$2:$E$13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_Dashboard_Helper!$F$2:$F$13</c:f>
              <c:numCache>
                <c:formatCode>General</c:formatCode>
                <c:ptCount val="12"/>
                <c:pt idx="0">
                  <c:v>3511075.3000000007</c:v>
                </c:pt>
                <c:pt idx="1">
                  <c:v>2986620.15</c:v>
                </c:pt>
                <c:pt idx="2">
                  <c:v>3321371.3400000008</c:v>
                </c:pt>
                <c:pt idx="3">
                  <c:v>3311249.3699999992</c:v>
                </c:pt>
                <c:pt idx="4">
                  <c:v>3168773.9300000006</c:v>
                </c:pt>
                <c:pt idx="5">
                  <c:v>2952237.0200000005</c:v>
                </c:pt>
                <c:pt idx="6">
                  <c:v>2548735.34</c:v>
                </c:pt>
                <c:pt idx="7">
                  <c:v>3665492.13</c:v>
                </c:pt>
                <c:pt idx="8">
                  <c:v>2742406.05</c:v>
                </c:pt>
                <c:pt idx="9">
                  <c:v>3161107.77</c:v>
                </c:pt>
                <c:pt idx="10">
                  <c:v>3077908.82</c:v>
                </c:pt>
                <c:pt idx="11">
                  <c:v>3166955.5999999996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5DCD-43C1-9B3D-B18C40ADEE4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hiLowLines>
          <c:spPr>
            <a:ln w="0">
              <a:noFill/>
              <a:prstDash val="solid"/>
            </a:ln>
          </c:spPr>
        </c:hiLowLines>
        <c:smooth val="0"/>
        <c:axId val="51743653"/>
        <c:axId val="16523134"/>
      </c:lineChart>
      <c:catAx>
        <c:axId val="51743653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sz="1300" b="0" strike="noStrike">
                    <a:uFillTx/>
                    <a:latin typeface="Arial"/>
                  </a:defRPr>
                </a:pPr>
                <a:r>
                  <a:rPr lang="en-US" sz="1000" b="1" strike="noStrike">
                    <a:solidFill>
                      <a:srgbClr val="000000"/>
                    </a:solidFill>
                    <a:uFillTx/>
                    <a:latin typeface="Calibri"/>
                  </a:rPr>
                  <a:t>Month</a:t>
                </a:r>
              </a:p>
            </c:rich>
          </c:tx>
          <c:overlay val="0"/>
          <c:spPr>
            <a:noFill/>
            <a:ln w="0">
              <a:noFill/>
              <a:prstDash val="solid"/>
            </a:ln>
          </c:spPr>
        </c:title>
        <c:numFmt formatCode="General" sourceLinked="1"/>
        <c:majorTickMark val="none"/>
        <c:minorTickMark val="none"/>
        <c:tickLblPos val="nextTo"/>
        <c:spPr>
          <a:ln w="6480">
            <a:solidFill>
              <a:srgbClr val="8B8B8B"/>
            </a:solidFill>
            <a:prstDash val="solid"/>
            <a:round/>
          </a:ln>
        </c:spPr>
        <c:txPr>
          <a:bodyPr/>
          <a:lstStyle/>
          <a:p>
            <a:pPr>
              <a:defRPr sz="1000" b="0" strike="noStrike">
                <a:solidFill>
                  <a:srgbClr val="000000"/>
                </a:solidFill>
                <a:uFillTx/>
                <a:latin typeface="Calibri"/>
              </a:defRPr>
            </a:pPr>
            <a:endParaRPr lang="en-US"/>
          </a:p>
        </c:txPr>
        <c:crossAx val="16523134"/>
        <c:crosses val="autoZero"/>
        <c:auto val="1"/>
        <c:lblAlgn val="ctr"/>
        <c:lblOffset val="100"/>
        <c:noMultiLvlLbl val="0"/>
      </c:catAx>
      <c:valAx>
        <c:axId val="16523134"/>
        <c:scaling>
          <c:orientation val="minMax"/>
        </c:scaling>
        <c:delete val="0"/>
        <c:axPos val="l"/>
        <c:majorGridlines>
          <c:spPr>
            <a:ln w="6480">
              <a:solidFill>
                <a:srgbClr val="8B8B8B"/>
              </a:solidFill>
              <a:prstDash val="solid"/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sz="1300" b="0" strike="noStrike">
                    <a:uFillTx/>
                    <a:latin typeface="Arial"/>
                  </a:defRPr>
                </a:pPr>
                <a:r>
                  <a:rPr lang="en-US" sz="1000" b="1" strike="noStrike">
                    <a:solidFill>
                      <a:srgbClr val="000000"/>
                    </a:solidFill>
                    <a:uFillTx/>
                    <a:latin typeface="Calibri"/>
                  </a:rPr>
                  <a:t>Sales</a:t>
                </a:r>
              </a:p>
            </c:rich>
          </c:tx>
          <c:overlay val="0"/>
          <c:spPr>
            <a:noFill/>
            <a:ln w="0">
              <a:noFill/>
              <a:prstDash val="solid"/>
            </a:ln>
          </c:spPr>
        </c:title>
        <c:numFmt formatCode="General" sourceLinked="1"/>
        <c:majorTickMark val="none"/>
        <c:minorTickMark val="none"/>
        <c:tickLblPos val="nextTo"/>
        <c:spPr>
          <a:ln w="6480">
            <a:solidFill>
              <a:srgbClr val="8B8B8B"/>
            </a:solidFill>
            <a:prstDash val="solid"/>
            <a:round/>
          </a:ln>
        </c:spPr>
        <c:txPr>
          <a:bodyPr/>
          <a:lstStyle/>
          <a:p>
            <a:pPr>
              <a:defRPr sz="1000" b="0" strike="noStrike">
                <a:solidFill>
                  <a:srgbClr val="000000"/>
                </a:solidFill>
                <a:uFillTx/>
                <a:latin typeface="Calibri"/>
              </a:defRPr>
            </a:pPr>
            <a:endParaRPr lang="en-US"/>
          </a:p>
        </c:txPr>
        <c:crossAx val="51743653"/>
        <c:crosses val="autoZero"/>
        <c:crossBetween val="between"/>
      </c:valAx>
    </c:plotArea>
    <c:legend>
      <c:legendPos val="r"/>
      <c:overlay val="0"/>
      <c:spPr>
        <a:noFill/>
        <a:ln w="0">
          <a:noFill/>
          <a:prstDash val="solid"/>
        </a:ln>
      </c:spPr>
      <c:txPr>
        <a:bodyPr/>
        <a:lstStyle/>
        <a:p>
          <a:pPr>
            <a:defRPr sz="1000" b="0" strike="noStrike">
              <a:solidFill>
                <a:srgbClr val="000000"/>
              </a:solidFill>
              <a:uFillTx/>
              <a:latin typeface="Calibri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prstDash val="solid"/>
      <a:round/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wrap="square" anchor="ctr" anchorCtr="1"/>
          <a:lstStyle/>
          <a:p>
            <a:pPr>
              <a:defRPr sz="1800" b="1" i="0" u="none" strike="noStrike" kern="1200" spc="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r>
              <a:rPr lang="en-US" sz="1800" b="1">
                <a:solidFill>
                  <a:sysClr val="windowText" lastClr="000000"/>
                </a:solidFill>
              </a:rPr>
              <a:t>Sales by Category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wrap="square" anchor="ctr" anchorCtr="1"/>
        <a:lstStyle/>
        <a:p>
          <a:pPr>
            <a:defRPr sz="1800" b="1" i="0" u="none" strike="noStrike" kern="1200" spc="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pieChart>
        <c:varyColors val="1"/>
        <c:ser>
          <c:idx val="0"/>
          <c:order val="0"/>
          <c:tx>
            <c:strRef>
              <c:f>_Dashboard_Helper!$J$1</c:f>
              <c:strCache>
                <c:ptCount val="1"/>
                <c:pt idx="0">
                  <c:v>Sales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D3A7-4405-B84A-E1851ABB4188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/>
            </c:extLst>
          </c:dLbls>
          <c:cat>
            <c:strRef>
              <c:f>_Dashboard_Helper!$I$2:$I$3</c:f>
              <c:strCache>
                <c:ptCount val="2"/>
                <c:pt idx="0">
                  <c:v>Furniture</c:v>
                </c:pt>
                <c:pt idx="1">
                  <c:v>Technology</c:v>
                </c:pt>
              </c:strCache>
            </c:strRef>
          </c:cat>
          <c:val>
            <c:numRef>
              <c:f>_Dashboard_Helper!$J$2:$J$3</c:f>
              <c:numCache>
                <c:formatCode>General</c:formatCode>
                <c:ptCount val="2"/>
                <c:pt idx="0">
                  <c:v>9579344.5700000022</c:v>
                </c:pt>
                <c:pt idx="1">
                  <c:v>28034588.250000007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3A7-4405-B84A-E1851ABB418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00" b="1" i="0" u="none" strike="noStrike" kern="120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 rot="0"/>
          <a:lstStyle/>
          <a:p>
            <a:pPr>
              <a:defRPr sz="1300" b="0" strike="noStrike">
                <a:uFillTx/>
                <a:latin typeface="Arial"/>
              </a:defRPr>
            </a:pPr>
            <a:r>
              <a:rPr lang="en-US" sz="1800" b="1" strike="noStrike">
                <a:solidFill>
                  <a:srgbClr val="000000"/>
                </a:solidFill>
                <a:uFillTx/>
                <a:latin typeface="Calibri"/>
              </a:rPr>
              <a:t>Sales by Region</a:t>
            </a:r>
          </a:p>
        </c:rich>
      </c:tx>
      <c:overlay val="0"/>
      <c:spPr>
        <a:noFill/>
        <a:ln w="0">
          <a:noFill/>
          <a:prstDash val="solid"/>
        </a:ln>
      </c:sp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_Dashboard_Helper!$M$1</c:f>
              <c:strCache>
                <c:ptCount val="1"/>
                <c:pt idx="0">
                  <c:v>Sales</c:v>
                </c:pt>
              </c:strCache>
            </c:strRef>
          </c:tx>
          <c:spPr>
            <a:solidFill>
              <a:srgbClr val="4472C4"/>
            </a:solidFill>
            <a:ln w="6480">
              <a:solidFill>
                <a:srgbClr val="FFFFFF"/>
              </a:solidFill>
              <a:prstDash val="solid"/>
              <a:round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1000" b="0" strike="noStrike">
                    <a:uFillTx/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_Dashboard_Helper!$L$2:$L$5</c:f>
              <c:strCache>
                <c:ptCount val="4"/>
                <c:pt idx="0">
                  <c:v>East</c:v>
                </c:pt>
                <c:pt idx="1">
                  <c:v>North</c:v>
                </c:pt>
                <c:pt idx="2">
                  <c:v>South</c:v>
                </c:pt>
                <c:pt idx="3">
                  <c:v>West</c:v>
                </c:pt>
              </c:strCache>
            </c:strRef>
          </c:cat>
          <c:val>
            <c:numRef>
              <c:f>_Dashboard_Helper!$M$2:$M$5</c:f>
              <c:numCache>
                <c:formatCode>General</c:formatCode>
                <c:ptCount val="4"/>
                <c:pt idx="0">
                  <c:v>8744277.3400000017</c:v>
                </c:pt>
                <c:pt idx="1">
                  <c:v>9169887.7899999954</c:v>
                </c:pt>
                <c:pt idx="2">
                  <c:v>9321539.8299999926</c:v>
                </c:pt>
                <c:pt idx="3">
                  <c:v>10378227.860000007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499-46C7-98E6-8D3FF62AE64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29540489"/>
        <c:axId val="51284597"/>
      </c:barChart>
      <c:catAx>
        <c:axId val="29540489"/>
        <c:scaling>
          <c:orientation val="minMax"/>
        </c:scaling>
        <c:delete val="0"/>
        <c:axPos val="l"/>
        <c:title>
          <c:tx>
            <c:rich>
              <a:bodyPr rot="-5400000"/>
              <a:lstStyle/>
              <a:p>
                <a:pPr>
                  <a:defRPr sz="1300" b="0" strike="noStrike">
                    <a:uFillTx/>
                    <a:latin typeface="Arial"/>
                  </a:defRPr>
                </a:pPr>
                <a:r>
                  <a:rPr lang="en-US" sz="1000" b="1" strike="noStrike">
                    <a:solidFill>
                      <a:srgbClr val="000000"/>
                    </a:solidFill>
                    <a:uFillTx/>
                    <a:latin typeface="Calibri"/>
                  </a:rPr>
                  <a:t>Sales</a:t>
                </a:r>
              </a:p>
            </c:rich>
          </c:tx>
          <c:overlay val="0"/>
          <c:spPr>
            <a:noFill/>
            <a:ln w="0">
              <a:noFill/>
              <a:prstDash val="solid"/>
            </a:ln>
          </c:spPr>
        </c:title>
        <c:numFmt formatCode="General" sourceLinked="1"/>
        <c:majorTickMark val="none"/>
        <c:minorTickMark val="none"/>
        <c:tickLblPos val="nextTo"/>
        <c:spPr>
          <a:ln w="6480">
            <a:solidFill>
              <a:srgbClr val="8B8B8B"/>
            </a:solidFill>
            <a:prstDash val="solid"/>
            <a:round/>
          </a:ln>
        </c:spPr>
        <c:txPr>
          <a:bodyPr/>
          <a:lstStyle/>
          <a:p>
            <a:pPr>
              <a:defRPr sz="1000" b="0" strike="noStrike">
                <a:solidFill>
                  <a:srgbClr val="000000"/>
                </a:solidFill>
                <a:uFillTx/>
                <a:latin typeface="Calibri"/>
              </a:defRPr>
            </a:pPr>
            <a:endParaRPr lang="en-US"/>
          </a:p>
        </c:txPr>
        <c:crossAx val="51284597"/>
        <c:crosses val="autoZero"/>
        <c:auto val="1"/>
        <c:lblAlgn val="ctr"/>
        <c:lblOffset val="100"/>
        <c:noMultiLvlLbl val="0"/>
      </c:catAx>
      <c:valAx>
        <c:axId val="51284597"/>
        <c:scaling>
          <c:orientation val="minMax"/>
        </c:scaling>
        <c:delete val="0"/>
        <c:axPos val="b"/>
        <c:majorGridlines>
          <c:spPr>
            <a:ln w="6480">
              <a:solidFill>
                <a:srgbClr val="8B8B8B"/>
              </a:solidFill>
              <a:prstDash val="solid"/>
              <a:round/>
            </a:ln>
          </c:spPr>
        </c:majorGridlines>
        <c:numFmt formatCode="General" sourceLinked="1"/>
        <c:majorTickMark val="none"/>
        <c:minorTickMark val="none"/>
        <c:tickLblPos val="nextTo"/>
        <c:spPr>
          <a:ln w="6480">
            <a:solidFill>
              <a:srgbClr val="8B8B8B"/>
            </a:solidFill>
            <a:prstDash val="solid"/>
            <a:round/>
          </a:ln>
        </c:spPr>
        <c:txPr>
          <a:bodyPr/>
          <a:lstStyle/>
          <a:p>
            <a:pPr>
              <a:defRPr sz="1000" b="0" strike="noStrike">
                <a:solidFill>
                  <a:srgbClr val="000000"/>
                </a:solidFill>
                <a:uFillTx/>
                <a:latin typeface="Calibri"/>
              </a:defRPr>
            </a:pPr>
            <a:endParaRPr lang="en-US"/>
          </a:p>
        </c:txPr>
        <c:crossAx val="29540489"/>
        <c:crosses val="autoZero"/>
        <c:crossBetween val="between"/>
      </c:valAx>
    </c:plotArea>
    <c:legend>
      <c:legendPos val="r"/>
      <c:overlay val="0"/>
      <c:spPr>
        <a:noFill/>
        <a:ln w="0">
          <a:noFill/>
          <a:prstDash val="solid"/>
        </a:ln>
      </c:spPr>
      <c:txPr>
        <a:bodyPr/>
        <a:lstStyle/>
        <a:p>
          <a:pPr>
            <a:defRPr sz="1000" b="0" strike="noStrike">
              <a:solidFill>
                <a:srgbClr val="000000"/>
              </a:solidFill>
              <a:uFillTx/>
              <a:latin typeface="Calibri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prstDash val="solid"/>
      <a:round/>
    </a:ln>
  </c:sp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 rot="0"/>
          <a:lstStyle/>
          <a:p>
            <a:pPr>
              <a:defRPr sz="1300" b="0" strike="noStrike">
                <a:uFillTx/>
                <a:latin typeface="Arial"/>
              </a:defRPr>
            </a:pPr>
            <a:r>
              <a:rPr lang="en-US" sz="1800" b="1" strike="noStrike">
                <a:solidFill>
                  <a:srgbClr val="000000"/>
                </a:solidFill>
                <a:uFillTx/>
                <a:latin typeface="Calibri"/>
              </a:rPr>
              <a:t>Top 10 Customers</a:t>
            </a:r>
          </a:p>
        </c:rich>
      </c:tx>
      <c:overlay val="0"/>
      <c:spPr>
        <a:noFill/>
        <a:ln w="0">
          <a:noFill/>
          <a:prstDash val="solid"/>
        </a:ln>
      </c:sp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_Dashboard_Helper!$S$1</c:f>
              <c:strCache>
                <c:ptCount val="1"/>
                <c:pt idx="0">
                  <c:v>Sales</c:v>
                </c:pt>
              </c:strCache>
            </c:strRef>
          </c:tx>
          <c:spPr>
            <a:solidFill>
              <a:srgbClr val="4472C4"/>
            </a:solidFill>
            <a:ln w="6480">
              <a:solidFill>
                <a:srgbClr val="FFFFFF"/>
              </a:solidFill>
              <a:prstDash val="solid"/>
              <a:round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1000" b="0" strike="noStrike">
                    <a:uFillTx/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_Dashboard_Helper!$R$2:$R$11</c:f>
              <c:strCache>
                <c:ptCount val="9"/>
                <c:pt idx="0">
                  <c:v>Ananya</c:v>
                </c:pt>
                <c:pt idx="1">
                  <c:v>Neha</c:v>
                </c:pt>
                <c:pt idx="2">
                  <c:v>Priya</c:v>
                </c:pt>
                <c:pt idx="3">
                  <c:v>Rohan</c:v>
                </c:pt>
                <c:pt idx="4">
                  <c:v>Vikram</c:v>
                </c:pt>
                <c:pt idx="5">
                  <c:v>Aarav</c:v>
                </c:pt>
                <c:pt idx="6">
                  <c:v>Sneha</c:v>
                </c:pt>
                <c:pt idx="7">
                  <c:v>Rahul</c:v>
                </c:pt>
                <c:pt idx="8">
                  <c:v>Unknown</c:v>
                </c:pt>
              </c:strCache>
            </c:strRef>
          </c:cat>
          <c:val>
            <c:numRef>
              <c:f>_Dashboard_Helper!$S$2:$S$11</c:f>
              <c:numCache>
                <c:formatCode>General</c:formatCode>
                <c:ptCount val="10"/>
                <c:pt idx="0">
                  <c:v>5489480.799999998</c:v>
                </c:pt>
                <c:pt idx="1">
                  <c:v>5386624.1800000034</c:v>
                </c:pt>
                <c:pt idx="2">
                  <c:v>5382946.6099999994</c:v>
                </c:pt>
                <c:pt idx="3">
                  <c:v>4478718.5999999996</c:v>
                </c:pt>
                <c:pt idx="4">
                  <c:v>4421428.4300000016</c:v>
                </c:pt>
                <c:pt idx="5">
                  <c:v>4288975.6599999974</c:v>
                </c:pt>
                <c:pt idx="6">
                  <c:v>4179045.839999998</c:v>
                </c:pt>
                <c:pt idx="7">
                  <c:v>3886212.0000000009</c:v>
                </c:pt>
                <c:pt idx="8">
                  <c:v>100500.7</c:v>
                </c:pt>
                <c:pt idx="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655-4154-B710-A5594AE30C5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38758453"/>
        <c:axId val="76315360"/>
      </c:barChart>
      <c:catAx>
        <c:axId val="38758453"/>
        <c:scaling>
          <c:orientation val="minMax"/>
        </c:scaling>
        <c:delete val="0"/>
        <c:axPos val="l"/>
        <c:title>
          <c:tx>
            <c:rich>
              <a:bodyPr rot="-5400000"/>
              <a:lstStyle/>
              <a:p>
                <a:pPr>
                  <a:defRPr sz="1300" b="0" strike="noStrike">
                    <a:uFillTx/>
                    <a:latin typeface="Arial"/>
                  </a:defRPr>
                </a:pPr>
                <a:r>
                  <a:rPr lang="en-US" sz="1000" b="1" strike="noStrike">
                    <a:solidFill>
                      <a:srgbClr val="000000"/>
                    </a:solidFill>
                    <a:uFillTx/>
                    <a:latin typeface="Calibri"/>
                  </a:rPr>
                  <a:t>Sales</a:t>
                </a:r>
              </a:p>
            </c:rich>
          </c:tx>
          <c:overlay val="0"/>
          <c:spPr>
            <a:noFill/>
            <a:ln w="0">
              <a:noFill/>
              <a:prstDash val="solid"/>
            </a:ln>
          </c:spPr>
        </c:title>
        <c:numFmt formatCode="General" sourceLinked="1"/>
        <c:majorTickMark val="none"/>
        <c:minorTickMark val="none"/>
        <c:tickLblPos val="nextTo"/>
        <c:spPr>
          <a:ln w="6480">
            <a:solidFill>
              <a:srgbClr val="8B8B8B"/>
            </a:solidFill>
            <a:prstDash val="solid"/>
            <a:round/>
          </a:ln>
        </c:spPr>
        <c:txPr>
          <a:bodyPr/>
          <a:lstStyle/>
          <a:p>
            <a:pPr>
              <a:defRPr sz="1000" b="0" strike="noStrike">
                <a:solidFill>
                  <a:srgbClr val="000000"/>
                </a:solidFill>
                <a:uFillTx/>
                <a:latin typeface="Calibri"/>
              </a:defRPr>
            </a:pPr>
            <a:endParaRPr lang="en-US"/>
          </a:p>
        </c:txPr>
        <c:crossAx val="76315360"/>
        <c:crosses val="autoZero"/>
        <c:auto val="1"/>
        <c:lblAlgn val="ctr"/>
        <c:lblOffset val="100"/>
        <c:noMultiLvlLbl val="0"/>
      </c:catAx>
      <c:valAx>
        <c:axId val="76315360"/>
        <c:scaling>
          <c:orientation val="minMax"/>
        </c:scaling>
        <c:delete val="0"/>
        <c:axPos val="b"/>
        <c:majorGridlines>
          <c:spPr>
            <a:ln w="6480">
              <a:solidFill>
                <a:srgbClr val="8B8B8B"/>
              </a:solidFill>
              <a:prstDash val="solid"/>
              <a:round/>
            </a:ln>
          </c:spPr>
        </c:majorGridlines>
        <c:numFmt formatCode="General" sourceLinked="1"/>
        <c:majorTickMark val="none"/>
        <c:minorTickMark val="none"/>
        <c:tickLblPos val="nextTo"/>
        <c:spPr>
          <a:ln w="6480">
            <a:solidFill>
              <a:srgbClr val="8B8B8B"/>
            </a:solidFill>
            <a:prstDash val="solid"/>
            <a:round/>
          </a:ln>
        </c:spPr>
        <c:txPr>
          <a:bodyPr/>
          <a:lstStyle/>
          <a:p>
            <a:pPr>
              <a:defRPr sz="1000" b="0" strike="noStrike">
                <a:solidFill>
                  <a:srgbClr val="000000"/>
                </a:solidFill>
                <a:uFillTx/>
                <a:latin typeface="Calibri"/>
              </a:defRPr>
            </a:pPr>
            <a:endParaRPr lang="en-US"/>
          </a:p>
        </c:txPr>
        <c:crossAx val="38758453"/>
        <c:crosses val="autoZero"/>
        <c:crossBetween val="between"/>
      </c:valAx>
    </c:plotArea>
    <c:legend>
      <c:legendPos val="r"/>
      <c:overlay val="0"/>
      <c:spPr>
        <a:noFill/>
        <a:ln w="0">
          <a:noFill/>
          <a:prstDash val="solid"/>
        </a:ln>
      </c:spPr>
      <c:txPr>
        <a:bodyPr/>
        <a:lstStyle/>
        <a:p>
          <a:pPr>
            <a:defRPr sz="1000" b="0" strike="noStrike">
              <a:solidFill>
                <a:srgbClr val="000000"/>
              </a:solidFill>
              <a:uFillTx/>
              <a:latin typeface="Calibri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prstDash val="solid"/>
      <a:round/>
    </a:ln>
  </c:sp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464635</xdr:colOff>
      <xdr:row>9</xdr:row>
      <xdr:rowOff>152736</xdr:rowOff>
    </xdr:from>
    <xdr:to>
      <xdr:col>6</xdr:col>
      <xdr:colOff>638875</xdr:colOff>
      <xdr:row>17</xdr:row>
      <xdr:rowOff>255429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8</xdr:col>
      <xdr:colOff>290396</xdr:colOff>
      <xdr:row>9</xdr:row>
      <xdr:rowOff>129505</xdr:rowOff>
    </xdr:from>
    <xdr:to>
      <xdr:col>14</xdr:col>
      <xdr:colOff>464636</xdr:colOff>
      <xdr:row>17</xdr:row>
      <xdr:rowOff>232198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0</xdr:col>
      <xdr:colOff>511097</xdr:colOff>
      <xdr:row>19</xdr:row>
      <xdr:rowOff>257253</xdr:rowOff>
    </xdr:from>
    <xdr:to>
      <xdr:col>6</xdr:col>
      <xdr:colOff>685337</xdr:colOff>
      <xdr:row>28</xdr:row>
      <xdr:rowOff>62880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 editAs="oneCell">
    <xdr:from>
      <xdr:col>8</xdr:col>
      <xdr:colOff>319718</xdr:colOff>
      <xdr:row>19</xdr:row>
      <xdr:rowOff>234022</xdr:rowOff>
    </xdr:from>
    <xdr:to>
      <xdr:col>14</xdr:col>
      <xdr:colOff>493958</xdr:colOff>
      <xdr:row>28</xdr:row>
      <xdr:rowOff>39649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00000000-0008-0000-0200-000005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Date="0" createdVersion="3" recordCount="1000" xr:uid="{00000000-000A-0000-FFFF-FFFF01000000}">
  <cacheSource type="worksheet">
    <worksheetSource ref="A1:K1001" sheet=" Sales analysis"/>
  </cacheSource>
  <cacheFields count="12">
    <cacheField name="Order_ID" numFmtId="0">
      <sharedItems containsSemiMixedTypes="0" containsString="0" containsNumber="1" containsInteger="1" minValue="10001" maxValue="11000" count="1000">
        <n v="10001"/>
        <n v="10002"/>
        <n v="10003"/>
        <n v="10004"/>
        <n v="10005"/>
        <n v="10006"/>
        <n v="10007"/>
        <n v="10008"/>
        <n v="10009"/>
        <n v="10010"/>
        <n v="10011"/>
        <n v="10012"/>
        <n v="10013"/>
        <n v="10014"/>
        <n v="10015"/>
        <n v="10016"/>
        <n v="10017"/>
        <n v="10018"/>
        <n v="10019"/>
        <n v="10020"/>
        <n v="10021"/>
        <n v="10022"/>
        <n v="10023"/>
        <n v="10024"/>
        <n v="10025"/>
        <n v="10026"/>
        <n v="10027"/>
        <n v="10028"/>
        <n v="10029"/>
        <n v="10030"/>
        <n v="10031"/>
        <n v="10032"/>
        <n v="10033"/>
        <n v="10034"/>
        <n v="10035"/>
        <n v="10036"/>
        <n v="10037"/>
        <n v="10038"/>
        <n v="10039"/>
        <n v="10040"/>
        <n v="10041"/>
        <n v="10042"/>
        <n v="10043"/>
        <n v="10044"/>
        <n v="10045"/>
        <n v="10046"/>
        <n v="10047"/>
        <n v="10048"/>
        <n v="10049"/>
        <n v="10050"/>
        <n v="10051"/>
        <n v="10052"/>
        <n v="10053"/>
        <n v="10054"/>
        <n v="10055"/>
        <n v="10056"/>
        <n v="10057"/>
        <n v="10058"/>
        <n v="10059"/>
        <n v="10060"/>
        <n v="10061"/>
        <n v="10062"/>
        <n v="10063"/>
        <n v="10064"/>
        <n v="10065"/>
        <n v="10066"/>
        <n v="10067"/>
        <n v="10068"/>
        <n v="10069"/>
        <n v="10070"/>
        <n v="10071"/>
        <n v="10072"/>
        <n v="10073"/>
        <n v="10074"/>
        <n v="10075"/>
        <n v="10076"/>
        <n v="10077"/>
        <n v="10078"/>
        <n v="10079"/>
        <n v="10080"/>
        <n v="10081"/>
        <n v="10082"/>
        <n v="10083"/>
        <n v="10084"/>
        <n v="10085"/>
        <n v="10086"/>
        <n v="10087"/>
        <n v="10088"/>
        <n v="10089"/>
        <n v="10090"/>
        <n v="10091"/>
        <n v="10092"/>
        <n v="10093"/>
        <n v="10094"/>
        <n v="10095"/>
        <n v="10096"/>
        <n v="10097"/>
        <n v="10098"/>
        <n v="10099"/>
        <n v="10100"/>
        <n v="10101"/>
        <n v="10102"/>
        <n v="10103"/>
        <n v="10104"/>
        <n v="10105"/>
        <n v="10106"/>
        <n v="10107"/>
        <n v="10108"/>
        <n v="10109"/>
        <n v="10110"/>
        <n v="10111"/>
        <n v="10112"/>
        <n v="10113"/>
        <n v="10114"/>
        <n v="10115"/>
        <n v="10116"/>
        <n v="10117"/>
        <n v="10118"/>
        <n v="10119"/>
        <n v="10120"/>
        <n v="10121"/>
        <n v="10122"/>
        <n v="10123"/>
        <n v="10124"/>
        <n v="10125"/>
        <n v="10126"/>
        <n v="10127"/>
        <n v="10128"/>
        <n v="10129"/>
        <n v="10130"/>
        <n v="10131"/>
        <n v="10132"/>
        <n v="10133"/>
        <n v="10134"/>
        <n v="10135"/>
        <n v="10136"/>
        <n v="10137"/>
        <n v="10138"/>
        <n v="10139"/>
        <n v="10140"/>
        <n v="10141"/>
        <n v="10142"/>
        <n v="10143"/>
        <n v="10144"/>
        <n v="10145"/>
        <n v="10146"/>
        <n v="10147"/>
        <n v="10148"/>
        <n v="10149"/>
        <n v="10150"/>
        <n v="10151"/>
        <n v="10152"/>
        <n v="10153"/>
        <n v="10154"/>
        <n v="10155"/>
        <n v="10156"/>
        <n v="10157"/>
        <n v="10158"/>
        <n v="10159"/>
        <n v="10160"/>
        <n v="10161"/>
        <n v="10162"/>
        <n v="10163"/>
        <n v="10164"/>
        <n v="10165"/>
        <n v="10166"/>
        <n v="10167"/>
        <n v="10168"/>
        <n v="10169"/>
        <n v="10170"/>
        <n v="10171"/>
        <n v="10172"/>
        <n v="10173"/>
        <n v="10174"/>
        <n v="10175"/>
        <n v="10176"/>
        <n v="10177"/>
        <n v="10178"/>
        <n v="10179"/>
        <n v="10180"/>
        <n v="10181"/>
        <n v="10182"/>
        <n v="10183"/>
        <n v="10184"/>
        <n v="10185"/>
        <n v="10186"/>
        <n v="10187"/>
        <n v="10188"/>
        <n v="10189"/>
        <n v="10190"/>
        <n v="10191"/>
        <n v="10192"/>
        <n v="10193"/>
        <n v="10194"/>
        <n v="10195"/>
        <n v="10196"/>
        <n v="10197"/>
        <n v="10198"/>
        <n v="10199"/>
        <n v="10200"/>
        <n v="10201"/>
        <n v="10202"/>
        <n v="10203"/>
        <n v="10204"/>
        <n v="10205"/>
        <n v="10206"/>
        <n v="10207"/>
        <n v="10208"/>
        <n v="10209"/>
        <n v="10210"/>
        <n v="10211"/>
        <n v="10212"/>
        <n v="10213"/>
        <n v="10214"/>
        <n v="10215"/>
        <n v="10216"/>
        <n v="10217"/>
        <n v="10218"/>
        <n v="10219"/>
        <n v="10220"/>
        <n v="10221"/>
        <n v="10222"/>
        <n v="10223"/>
        <n v="10224"/>
        <n v="10225"/>
        <n v="10226"/>
        <n v="10227"/>
        <n v="10228"/>
        <n v="10229"/>
        <n v="10230"/>
        <n v="10231"/>
        <n v="10232"/>
        <n v="10233"/>
        <n v="10234"/>
        <n v="10235"/>
        <n v="10236"/>
        <n v="10237"/>
        <n v="10238"/>
        <n v="10239"/>
        <n v="10240"/>
        <n v="10241"/>
        <n v="10242"/>
        <n v="10243"/>
        <n v="10244"/>
        <n v="10245"/>
        <n v="10246"/>
        <n v="10247"/>
        <n v="10248"/>
        <n v="10249"/>
        <n v="10250"/>
        <n v="10251"/>
        <n v="10252"/>
        <n v="10253"/>
        <n v="10254"/>
        <n v="10255"/>
        <n v="10256"/>
        <n v="10257"/>
        <n v="10258"/>
        <n v="10259"/>
        <n v="10260"/>
        <n v="10261"/>
        <n v="10262"/>
        <n v="10263"/>
        <n v="10264"/>
        <n v="10265"/>
        <n v="10266"/>
        <n v="10267"/>
        <n v="10268"/>
        <n v="10269"/>
        <n v="10270"/>
        <n v="10271"/>
        <n v="10272"/>
        <n v="10273"/>
        <n v="10274"/>
        <n v="10275"/>
        <n v="10276"/>
        <n v="10277"/>
        <n v="10278"/>
        <n v="10279"/>
        <n v="10280"/>
        <n v="10281"/>
        <n v="10282"/>
        <n v="10283"/>
        <n v="10284"/>
        <n v="10285"/>
        <n v="10286"/>
        <n v="10287"/>
        <n v="10288"/>
        <n v="10289"/>
        <n v="10290"/>
        <n v="10291"/>
        <n v="10292"/>
        <n v="10293"/>
        <n v="10294"/>
        <n v="10295"/>
        <n v="10296"/>
        <n v="10297"/>
        <n v="10298"/>
        <n v="10299"/>
        <n v="10300"/>
        <n v="10301"/>
        <n v="10302"/>
        <n v="10303"/>
        <n v="10304"/>
        <n v="10305"/>
        <n v="10306"/>
        <n v="10307"/>
        <n v="10308"/>
        <n v="10309"/>
        <n v="10310"/>
        <n v="10311"/>
        <n v="10312"/>
        <n v="10313"/>
        <n v="10314"/>
        <n v="10315"/>
        <n v="10316"/>
        <n v="10317"/>
        <n v="10318"/>
        <n v="10319"/>
        <n v="10320"/>
        <n v="10321"/>
        <n v="10322"/>
        <n v="10323"/>
        <n v="10324"/>
        <n v="10325"/>
        <n v="10326"/>
        <n v="10327"/>
        <n v="10328"/>
        <n v="10329"/>
        <n v="10330"/>
        <n v="10331"/>
        <n v="10332"/>
        <n v="10333"/>
        <n v="10334"/>
        <n v="10335"/>
        <n v="10336"/>
        <n v="10337"/>
        <n v="10338"/>
        <n v="10339"/>
        <n v="10340"/>
        <n v="10341"/>
        <n v="10342"/>
        <n v="10343"/>
        <n v="10344"/>
        <n v="10345"/>
        <n v="10346"/>
        <n v="10347"/>
        <n v="10348"/>
        <n v="10349"/>
        <n v="10350"/>
        <n v="10351"/>
        <n v="10352"/>
        <n v="10353"/>
        <n v="10354"/>
        <n v="10355"/>
        <n v="10356"/>
        <n v="10357"/>
        <n v="10358"/>
        <n v="10359"/>
        <n v="10360"/>
        <n v="10361"/>
        <n v="10362"/>
        <n v="10363"/>
        <n v="10364"/>
        <n v="10365"/>
        <n v="10366"/>
        <n v="10367"/>
        <n v="10368"/>
        <n v="10369"/>
        <n v="10370"/>
        <n v="10371"/>
        <n v="10372"/>
        <n v="10373"/>
        <n v="10374"/>
        <n v="10375"/>
        <n v="10376"/>
        <n v="10377"/>
        <n v="10378"/>
        <n v="10379"/>
        <n v="10380"/>
        <n v="10381"/>
        <n v="10382"/>
        <n v="10383"/>
        <n v="10384"/>
        <n v="10385"/>
        <n v="10386"/>
        <n v="10387"/>
        <n v="10388"/>
        <n v="10389"/>
        <n v="10390"/>
        <n v="10391"/>
        <n v="10392"/>
        <n v="10393"/>
        <n v="10394"/>
        <n v="10395"/>
        <n v="10396"/>
        <n v="10397"/>
        <n v="10398"/>
        <n v="10399"/>
        <n v="10400"/>
        <n v="10401"/>
        <n v="10402"/>
        <n v="10403"/>
        <n v="10404"/>
        <n v="10405"/>
        <n v="10406"/>
        <n v="10407"/>
        <n v="10408"/>
        <n v="10409"/>
        <n v="10410"/>
        <n v="10411"/>
        <n v="10412"/>
        <n v="10413"/>
        <n v="10414"/>
        <n v="10415"/>
        <n v="10416"/>
        <n v="10417"/>
        <n v="10418"/>
        <n v="10419"/>
        <n v="10420"/>
        <n v="10421"/>
        <n v="10422"/>
        <n v="10423"/>
        <n v="10424"/>
        <n v="10425"/>
        <n v="10426"/>
        <n v="10427"/>
        <n v="10428"/>
        <n v="10429"/>
        <n v="10430"/>
        <n v="10431"/>
        <n v="10432"/>
        <n v="10433"/>
        <n v="10434"/>
        <n v="10435"/>
        <n v="10436"/>
        <n v="10437"/>
        <n v="10438"/>
        <n v="10439"/>
        <n v="10440"/>
        <n v="10441"/>
        <n v="10442"/>
        <n v="10443"/>
        <n v="10444"/>
        <n v="10445"/>
        <n v="10446"/>
        <n v="10447"/>
        <n v="10448"/>
        <n v="10449"/>
        <n v="10450"/>
        <n v="10451"/>
        <n v="10452"/>
        <n v="10453"/>
        <n v="10454"/>
        <n v="10455"/>
        <n v="10456"/>
        <n v="10457"/>
        <n v="10458"/>
        <n v="10459"/>
        <n v="10460"/>
        <n v="10461"/>
        <n v="10462"/>
        <n v="10463"/>
        <n v="10464"/>
        <n v="10465"/>
        <n v="10466"/>
        <n v="10467"/>
        <n v="10468"/>
        <n v="10469"/>
        <n v="10470"/>
        <n v="10471"/>
        <n v="10472"/>
        <n v="10473"/>
        <n v="10474"/>
        <n v="10475"/>
        <n v="10476"/>
        <n v="10477"/>
        <n v="10478"/>
        <n v="10479"/>
        <n v="10480"/>
        <n v="10481"/>
        <n v="10482"/>
        <n v="10483"/>
        <n v="10484"/>
        <n v="10485"/>
        <n v="10486"/>
        <n v="10487"/>
        <n v="10488"/>
        <n v="10489"/>
        <n v="10490"/>
        <n v="10491"/>
        <n v="10492"/>
        <n v="10493"/>
        <n v="10494"/>
        <n v="10495"/>
        <n v="10496"/>
        <n v="10497"/>
        <n v="10498"/>
        <n v="10499"/>
        <n v="10500"/>
        <n v="10501"/>
        <n v="10502"/>
        <n v="10503"/>
        <n v="10504"/>
        <n v="10505"/>
        <n v="10506"/>
        <n v="10507"/>
        <n v="10508"/>
        <n v="10509"/>
        <n v="10510"/>
        <n v="10511"/>
        <n v="10512"/>
        <n v="10513"/>
        <n v="10514"/>
        <n v="10515"/>
        <n v="10516"/>
        <n v="10517"/>
        <n v="10518"/>
        <n v="10519"/>
        <n v="10520"/>
        <n v="10521"/>
        <n v="10522"/>
        <n v="10523"/>
        <n v="10524"/>
        <n v="10525"/>
        <n v="10526"/>
        <n v="10527"/>
        <n v="10528"/>
        <n v="10529"/>
        <n v="10530"/>
        <n v="10531"/>
        <n v="10532"/>
        <n v="10533"/>
        <n v="10534"/>
        <n v="10535"/>
        <n v="10536"/>
        <n v="10537"/>
        <n v="10538"/>
        <n v="10539"/>
        <n v="10540"/>
        <n v="10541"/>
        <n v="10542"/>
        <n v="10543"/>
        <n v="10544"/>
        <n v="10545"/>
        <n v="10546"/>
        <n v="10547"/>
        <n v="10548"/>
        <n v="10549"/>
        <n v="10550"/>
        <n v="10551"/>
        <n v="10552"/>
        <n v="10553"/>
        <n v="10554"/>
        <n v="10555"/>
        <n v="10556"/>
        <n v="10557"/>
        <n v="10558"/>
        <n v="10559"/>
        <n v="10560"/>
        <n v="10561"/>
        <n v="10562"/>
        <n v="10563"/>
        <n v="10564"/>
        <n v="10565"/>
        <n v="10566"/>
        <n v="10567"/>
        <n v="10568"/>
        <n v="10569"/>
        <n v="10570"/>
        <n v="10571"/>
        <n v="10572"/>
        <n v="10573"/>
        <n v="10574"/>
        <n v="10575"/>
        <n v="10576"/>
        <n v="10577"/>
        <n v="10578"/>
        <n v="10579"/>
        <n v="10580"/>
        <n v="10581"/>
        <n v="10582"/>
        <n v="10583"/>
        <n v="10584"/>
        <n v="10585"/>
        <n v="10586"/>
        <n v="10587"/>
        <n v="10588"/>
        <n v="10589"/>
        <n v="10590"/>
        <n v="10591"/>
        <n v="10592"/>
        <n v="10593"/>
        <n v="10594"/>
        <n v="10595"/>
        <n v="10596"/>
        <n v="10597"/>
        <n v="10598"/>
        <n v="10599"/>
        <n v="10600"/>
        <n v="10601"/>
        <n v="10602"/>
        <n v="10603"/>
        <n v="10604"/>
        <n v="10605"/>
        <n v="10606"/>
        <n v="10607"/>
        <n v="10608"/>
        <n v="10609"/>
        <n v="10610"/>
        <n v="10611"/>
        <n v="10612"/>
        <n v="10613"/>
        <n v="10614"/>
        <n v="10615"/>
        <n v="10616"/>
        <n v="10617"/>
        <n v="10618"/>
        <n v="10619"/>
        <n v="10620"/>
        <n v="10621"/>
        <n v="10622"/>
        <n v="10623"/>
        <n v="10624"/>
        <n v="10625"/>
        <n v="10626"/>
        <n v="10627"/>
        <n v="10628"/>
        <n v="10629"/>
        <n v="10630"/>
        <n v="10631"/>
        <n v="10632"/>
        <n v="10633"/>
        <n v="10634"/>
        <n v="10635"/>
        <n v="10636"/>
        <n v="10637"/>
        <n v="10638"/>
        <n v="10639"/>
        <n v="10640"/>
        <n v="10641"/>
        <n v="10642"/>
        <n v="10643"/>
        <n v="10644"/>
        <n v="10645"/>
        <n v="10646"/>
        <n v="10647"/>
        <n v="10648"/>
        <n v="10649"/>
        <n v="10650"/>
        <n v="10651"/>
        <n v="10652"/>
        <n v="10653"/>
        <n v="10654"/>
        <n v="10655"/>
        <n v="10656"/>
        <n v="10657"/>
        <n v="10658"/>
        <n v="10659"/>
        <n v="10660"/>
        <n v="10661"/>
        <n v="10662"/>
        <n v="10663"/>
        <n v="10664"/>
        <n v="10665"/>
        <n v="10666"/>
        <n v="10667"/>
        <n v="10668"/>
        <n v="10669"/>
        <n v="10670"/>
        <n v="10671"/>
        <n v="10672"/>
        <n v="10673"/>
        <n v="10674"/>
        <n v="10675"/>
        <n v="10676"/>
        <n v="10677"/>
        <n v="10678"/>
        <n v="10679"/>
        <n v="10680"/>
        <n v="10681"/>
        <n v="10682"/>
        <n v="10683"/>
        <n v="10684"/>
        <n v="10685"/>
        <n v="10686"/>
        <n v="10687"/>
        <n v="10688"/>
        <n v="10689"/>
        <n v="10690"/>
        <n v="10691"/>
        <n v="10692"/>
        <n v="10693"/>
        <n v="10694"/>
        <n v="10695"/>
        <n v="10696"/>
        <n v="10697"/>
        <n v="10698"/>
        <n v="10699"/>
        <n v="10700"/>
        <n v="10701"/>
        <n v="10702"/>
        <n v="10703"/>
        <n v="10704"/>
        <n v="10705"/>
        <n v="10706"/>
        <n v="10707"/>
        <n v="10708"/>
        <n v="10709"/>
        <n v="10710"/>
        <n v="10711"/>
        <n v="10712"/>
        <n v="10713"/>
        <n v="10714"/>
        <n v="10715"/>
        <n v="10716"/>
        <n v="10717"/>
        <n v="10718"/>
        <n v="10719"/>
        <n v="10720"/>
        <n v="10721"/>
        <n v="10722"/>
        <n v="10723"/>
        <n v="10724"/>
        <n v="10725"/>
        <n v="10726"/>
        <n v="10727"/>
        <n v="10728"/>
        <n v="10729"/>
        <n v="10730"/>
        <n v="10731"/>
        <n v="10732"/>
        <n v="10733"/>
        <n v="10734"/>
        <n v="10735"/>
        <n v="10736"/>
        <n v="10737"/>
        <n v="10738"/>
        <n v="10739"/>
        <n v="10740"/>
        <n v="10741"/>
        <n v="10742"/>
        <n v="10743"/>
        <n v="10744"/>
        <n v="10745"/>
        <n v="10746"/>
        <n v="10747"/>
        <n v="10748"/>
        <n v="10749"/>
        <n v="10750"/>
        <n v="10751"/>
        <n v="10752"/>
        <n v="10753"/>
        <n v="10754"/>
        <n v="10755"/>
        <n v="10756"/>
        <n v="10757"/>
        <n v="10758"/>
        <n v="10759"/>
        <n v="10760"/>
        <n v="10761"/>
        <n v="10762"/>
        <n v="10763"/>
        <n v="10764"/>
        <n v="10765"/>
        <n v="10766"/>
        <n v="10767"/>
        <n v="10768"/>
        <n v="10769"/>
        <n v="10770"/>
        <n v="10771"/>
        <n v="10772"/>
        <n v="10773"/>
        <n v="10774"/>
        <n v="10775"/>
        <n v="10776"/>
        <n v="10777"/>
        <n v="10778"/>
        <n v="10779"/>
        <n v="10780"/>
        <n v="10781"/>
        <n v="10782"/>
        <n v="10783"/>
        <n v="10784"/>
        <n v="10785"/>
        <n v="10786"/>
        <n v="10787"/>
        <n v="10788"/>
        <n v="10789"/>
        <n v="10790"/>
        <n v="10791"/>
        <n v="10792"/>
        <n v="10793"/>
        <n v="10794"/>
        <n v="10795"/>
        <n v="10796"/>
        <n v="10797"/>
        <n v="10798"/>
        <n v="10799"/>
        <n v="10800"/>
        <n v="10801"/>
        <n v="10802"/>
        <n v="10803"/>
        <n v="10804"/>
        <n v="10805"/>
        <n v="10806"/>
        <n v="10807"/>
        <n v="10808"/>
        <n v="10809"/>
        <n v="10810"/>
        <n v="10811"/>
        <n v="10812"/>
        <n v="10813"/>
        <n v="10814"/>
        <n v="10815"/>
        <n v="10816"/>
        <n v="10817"/>
        <n v="10818"/>
        <n v="10819"/>
        <n v="10820"/>
        <n v="10821"/>
        <n v="10822"/>
        <n v="10823"/>
        <n v="10824"/>
        <n v="10825"/>
        <n v="10826"/>
        <n v="10827"/>
        <n v="10828"/>
        <n v="10829"/>
        <n v="10830"/>
        <n v="10831"/>
        <n v="10832"/>
        <n v="10833"/>
        <n v="10834"/>
        <n v="10835"/>
        <n v="10836"/>
        <n v="10837"/>
        <n v="10838"/>
        <n v="10839"/>
        <n v="10840"/>
        <n v="10841"/>
        <n v="10842"/>
        <n v="10843"/>
        <n v="10844"/>
        <n v="10845"/>
        <n v="10846"/>
        <n v="10847"/>
        <n v="10848"/>
        <n v="10849"/>
        <n v="10850"/>
        <n v="10851"/>
        <n v="10852"/>
        <n v="10853"/>
        <n v="10854"/>
        <n v="10855"/>
        <n v="10856"/>
        <n v="10857"/>
        <n v="10858"/>
        <n v="10859"/>
        <n v="10860"/>
        <n v="10861"/>
        <n v="10862"/>
        <n v="10863"/>
        <n v="10864"/>
        <n v="10865"/>
        <n v="10866"/>
        <n v="10867"/>
        <n v="10868"/>
        <n v="10869"/>
        <n v="10870"/>
        <n v="10871"/>
        <n v="10872"/>
        <n v="10873"/>
        <n v="10874"/>
        <n v="10875"/>
        <n v="10876"/>
        <n v="10877"/>
        <n v="10878"/>
        <n v="10879"/>
        <n v="10880"/>
        <n v="10881"/>
        <n v="10882"/>
        <n v="10883"/>
        <n v="10884"/>
        <n v="10885"/>
        <n v="10886"/>
        <n v="10887"/>
        <n v="10888"/>
        <n v="10889"/>
        <n v="10890"/>
        <n v="10891"/>
        <n v="10892"/>
        <n v="10893"/>
        <n v="10894"/>
        <n v="10895"/>
        <n v="10896"/>
        <n v="10897"/>
        <n v="10898"/>
        <n v="10899"/>
        <n v="10900"/>
        <n v="10901"/>
        <n v="10902"/>
        <n v="10903"/>
        <n v="10904"/>
        <n v="10905"/>
        <n v="10906"/>
        <n v="10907"/>
        <n v="10908"/>
        <n v="10909"/>
        <n v="10910"/>
        <n v="10911"/>
        <n v="10912"/>
        <n v="10913"/>
        <n v="10914"/>
        <n v="10915"/>
        <n v="10916"/>
        <n v="10917"/>
        <n v="10918"/>
        <n v="10919"/>
        <n v="10920"/>
        <n v="10921"/>
        <n v="10922"/>
        <n v="10923"/>
        <n v="10924"/>
        <n v="10925"/>
        <n v="10926"/>
        <n v="10927"/>
        <n v="10928"/>
        <n v="10929"/>
        <n v="10930"/>
        <n v="10931"/>
        <n v="10932"/>
        <n v="10933"/>
        <n v="10934"/>
        <n v="10935"/>
        <n v="10936"/>
        <n v="10937"/>
        <n v="10938"/>
        <n v="10939"/>
        <n v="10940"/>
        <n v="10941"/>
        <n v="10942"/>
        <n v="10943"/>
        <n v="10944"/>
        <n v="10945"/>
        <n v="10946"/>
        <n v="10947"/>
        <n v="10948"/>
        <n v="10949"/>
        <n v="10950"/>
        <n v="10951"/>
        <n v="10952"/>
        <n v="10953"/>
        <n v="10954"/>
        <n v="10955"/>
        <n v="10956"/>
        <n v="10957"/>
        <n v="10958"/>
        <n v="10959"/>
        <n v="10960"/>
        <n v="10961"/>
        <n v="10962"/>
        <n v="10963"/>
        <n v="10964"/>
        <n v="10965"/>
        <n v="10966"/>
        <n v="10967"/>
        <n v="10968"/>
        <n v="10969"/>
        <n v="10970"/>
        <n v="10971"/>
        <n v="10972"/>
        <n v="10973"/>
        <n v="10974"/>
        <n v="10975"/>
        <n v="10976"/>
        <n v="10977"/>
        <n v="10978"/>
        <n v="10979"/>
        <n v="10980"/>
        <n v="10981"/>
        <n v="10982"/>
        <n v="10983"/>
        <n v="10984"/>
        <n v="10985"/>
        <n v="10986"/>
        <n v="10987"/>
        <n v="10988"/>
        <n v="10989"/>
        <n v="10990"/>
        <n v="10991"/>
        <n v="10992"/>
        <n v="10993"/>
        <n v="10994"/>
        <n v="10995"/>
        <n v="10996"/>
        <n v="10997"/>
        <n v="10998"/>
        <n v="10999"/>
        <n v="11000"/>
      </sharedItems>
    </cacheField>
    <cacheField name="Order_Date" numFmtId="0">
      <sharedItems containsSemiMixedTypes="0" containsNonDate="0" containsDate="1" containsString="0" minDate="2025-01-01T00:00:00" maxDate="2025-12-31T00:00:00" count="340">
        <d v="2025-01-01T00:00:00"/>
        <d v="2025-01-02T00:00:00"/>
        <d v="2025-01-03T00:00:00"/>
        <d v="2025-01-04T00:00:00"/>
        <d v="2025-01-05T00:00:00"/>
        <d v="2025-01-06T00:00:00"/>
        <d v="2025-01-07T00:00:00"/>
        <d v="2025-01-08T00:00:00"/>
        <d v="2025-01-09T00:00:00"/>
        <d v="2025-01-10T00:00:00"/>
        <d v="2025-01-11T00:00:00"/>
        <d v="2025-01-12T00:00:00"/>
        <d v="2025-01-13T00:00:00"/>
        <d v="2025-01-14T00:00:00"/>
        <d v="2025-01-15T00:00:00"/>
        <d v="2025-01-16T00:00:00"/>
        <d v="2025-01-17T00:00:00"/>
        <d v="2025-01-18T00:00:00"/>
        <d v="2025-01-19T00:00:00"/>
        <d v="2025-01-20T00:00:00"/>
        <d v="2025-01-22T00:00:00"/>
        <d v="2025-01-23T00:00:00"/>
        <d v="2025-01-25T00:00:00"/>
        <d v="2025-01-26T00:00:00"/>
        <d v="2025-01-27T00:00:00"/>
        <d v="2025-01-28T00:00:00"/>
        <d v="2025-01-29T00:00:00"/>
        <d v="2025-01-30T00:00:00"/>
        <d v="2025-01-31T00:00:00"/>
        <d v="2025-02-01T00:00:00"/>
        <d v="2025-02-03T00:00:00"/>
        <d v="2025-02-04T00:00:00"/>
        <d v="2025-02-05T00:00:00"/>
        <d v="2025-02-06T00:00:00"/>
        <d v="2025-02-07T00:00:00"/>
        <d v="2025-02-08T00:00:00"/>
        <d v="2025-02-09T00:00:00"/>
        <d v="2025-02-10T00:00:00"/>
        <d v="2025-02-11T00:00:00"/>
        <d v="2025-02-12T00:00:00"/>
        <d v="2025-02-13T00:00:00"/>
        <d v="2025-02-14T00:00:00"/>
        <d v="2025-02-15T00:00:00"/>
        <d v="2025-02-16T00:00:00"/>
        <d v="2025-02-17T00:00:00"/>
        <d v="2025-02-18T00:00:00"/>
        <d v="2025-02-20T00:00:00"/>
        <d v="2025-02-21T00:00:00"/>
        <d v="2025-02-22T00:00:00"/>
        <d v="2025-02-23T00:00:00"/>
        <d v="2025-02-24T00:00:00"/>
        <d v="2025-02-25T00:00:00"/>
        <d v="2025-02-26T00:00:00"/>
        <d v="2025-02-28T00:00:00"/>
        <d v="2025-03-01T00:00:00"/>
        <d v="2025-03-02T00:00:00"/>
        <d v="2025-03-03T00:00:00"/>
        <d v="2025-03-04T00:00:00"/>
        <d v="2025-03-05T00:00:00"/>
        <d v="2025-03-06T00:00:00"/>
        <d v="2025-03-07T00:00:00"/>
        <d v="2025-03-08T00:00:00"/>
        <d v="2025-03-09T00:00:00"/>
        <d v="2025-03-10T00:00:00"/>
        <d v="2025-03-11T00:00:00"/>
        <d v="2025-03-13T00:00:00"/>
        <d v="2025-03-14T00:00:00"/>
        <d v="2025-03-15T00:00:00"/>
        <d v="2025-03-16T00:00:00"/>
        <d v="2025-03-17T00:00:00"/>
        <d v="2025-03-18T00:00:00"/>
        <d v="2025-03-19T00:00:00"/>
        <d v="2025-03-21T00:00:00"/>
        <d v="2025-03-22T00:00:00"/>
        <d v="2025-03-23T00:00:00"/>
        <d v="2025-03-24T00:00:00"/>
        <d v="2025-03-25T00:00:00"/>
        <d v="2025-03-26T00:00:00"/>
        <d v="2025-03-27T00:00:00"/>
        <d v="2025-03-28T00:00:00"/>
        <d v="2025-03-29T00:00:00"/>
        <d v="2025-03-30T00:00:00"/>
        <d v="2025-03-31T00:00:00"/>
        <d v="2025-04-02T00:00:00"/>
        <d v="2025-04-03T00:00:00"/>
        <d v="2025-04-04T00:00:00"/>
        <d v="2025-04-05T00:00:00"/>
        <d v="2025-04-06T00:00:00"/>
        <d v="2025-04-07T00:00:00"/>
        <d v="2025-04-08T00:00:00"/>
        <d v="2025-04-09T00:00:00"/>
        <d v="2025-04-11T00:00:00"/>
        <d v="2025-04-12T00:00:00"/>
        <d v="2025-04-13T00:00:00"/>
        <d v="2025-04-14T00:00:00"/>
        <d v="2025-04-15T00:00:00"/>
        <d v="2025-04-16T00:00:00"/>
        <d v="2025-04-17T00:00:00"/>
        <d v="2025-04-18T00:00:00"/>
        <d v="2025-04-19T00:00:00"/>
        <d v="2025-04-20T00:00:00"/>
        <d v="2025-04-21T00:00:00"/>
        <d v="2025-04-22T00:00:00"/>
        <d v="2025-04-23T00:00:00"/>
        <d v="2025-04-24T00:00:00"/>
        <d v="2025-04-25T00:00:00"/>
        <d v="2025-04-27T00:00:00"/>
        <d v="2025-04-28T00:00:00"/>
        <d v="2025-04-29T00:00:00"/>
        <d v="2025-04-30T00:00:00"/>
        <d v="2025-05-01T00:00:00"/>
        <d v="2025-05-02T00:00:00"/>
        <d v="2025-05-03T00:00:00"/>
        <d v="2025-05-04T00:00:00"/>
        <d v="2025-05-05T00:00:00"/>
        <d v="2025-05-06T00:00:00"/>
        <d v="2025-05-07T00:00:00"/>
        <d v="2025-05-08T00:00:00"/>
        <d v="2025-05-09T00:00:00"/>
        <d v="2025-05-10T00:00:00"/>
        <d v="2025-05-11T00:00:00"/>
        <d v="2025-05-12T00:00:00"/>
        <d v="2025-05-13T00:00:00"/>
        <d v="2025-05-14T00:00:00"/>
        <d v="2025-05-16T00:00:00"/>
        <d v="2025-05-17T00:00:00"/>
        <d v="2025-05-18T00:00:00"/>
        <d v="2025-05-19T00:00:00"/>
        <d v="2025-05-20T00:00:00"/>
        <d v="2025-05-21T00:00:00"/>
        <d v="2025-05-22T00:00:00"/>
        <d v="2025-05-23T00:00:00"/>
        <d v="2025-05-24T00:00:00"/>
        <d v="2025-05-25T00:00:00"/>
        <d v="2025-05-26T00:00:00"/>
        <d v="2025-05-27T00:00:00"/>
        <d v="2025-05-28T00:00:00"/>
        <d v="2025-05-29T00:00:00"/>
        <d v="2025-05-30T00:00:00"/>
        <d v="2025-05-31T00:00:00"/>
        <d v="2025-06-01T00:00:00"/>
        <d v="2025-06-02T00:00:00"/>
        <d v="2025-06-03T00:00:00"/>
        <d v="2025-06-04T00:00:00"/>
        <d v="2025-06-05T00:00:00"/>
        <d v="2025-06-06T00:00:00"/>
        <d v="2025-06-07T00:00:00"/>
        <d v="2025-06-08T00:00:00"/>
        <d v="2025-06-09T00:00:00"/>
        <d v="2025-06-10T00:00:00"/>
        <d v="2025-06-11T00:00:00"/>
        <d v="2025-06-12T00:00:00"/>
        <d v="2025-06-13T00:00:00"/>
        <d v="2025-06-14T00:00:00"/>
        <d v="2025-06-15T00:00:00"/>
        <d v="2025-06-17T00:00:00"/>
        <d v="2025-06-18T00:00:00"/>
        <d v="2025-06-19T00:00:00"/>
        <d v="2025-06-20T00:00:00"/>
        <d v="2025-06-21T00:00:00"/>
        <d v="2025-06-22T00:00:00"/>
        <d v="2025-06-24T00:00:00"/>
        <d v="2025-06-25T00:00:00"/>
        <d v="2025-06-26T00:00:00"/>
        <d v="2025-06-27T00:00:00"/>
        <d v="2025-06-28T00:00:00"/>
        <d v="2025-06-29T00:00:00"/>
        <d v="2025-06-30T00:00:00"/>
        <d v="2025-07-01T00:00:00"/>
        <d v="2025-07-02T00:00:00"/>
        <d v="2025-07-03T00:00:00"/>
        <d v="2025-07-04T00:00:00"/>
        <d v="2025-07-05T00:00:00"/>
        <d v="2025-07-06T00:00:00"/>
        <d v="2025-07-07T00:00:00"/>
        <d v="2025-07-08T00:00:00"/>
        <d v="2025-07-09T00:00:00"/>
        <d v="2025-07-10T00:00:00"/>
        <d v="2025-07-11T00:00:00"/>
        <d v="2025-07-12T00:00:00"/>
        <d v="2025-07-13T00:00:00"/>
        <d v="2025-07-14T00:00:00"/>
        <d v="2025-07-15T00:00:00"/>
        <d v="2025-07-16T00:00:00"/>
        <d v="2025-07-17T00:00:00"/>
        <d v="2025-07-18T00:00:00"/>
        <d v="2025-07-19T00:00:00"/>
        <d v="2025-07-20T00:00:00"/>
        <d v="2025-07-21T00:00:00"/>
        <d v="2025-07-22T00:00:00"/>
        <d v="2025-07-24T00:00:00"/>
        <d v="2025-07-25T00:00:00"/>
        <d v="2025-07-26T00:00:00"/>
        <d v="2025-07-28T00:00:00"/>
        <d v="2025-07-29T00:00:00"/>
        <d v="2025-07-30T00:00:00"/>
        <d v="2025-07-31T00:00:00"/>
        <d v="2025-08-01T00:00:00"/>
        <d v="2025-08-02T00:00:00"/>
        <d v="2025-08-03T00:00:00"/>
        <d v="2025-08-04T00:00:00"/>
        <d v="2025-08-05T00:00:00"/>
        <d v="2025-08-06T00:00:00"/>
        <d v="2025-08-07T00:00:00"/>
        <d v="2025-08-08T00:00:00"/>
        <d v="2025-08-10T00:00:00"/>
        <d v="2025-08-11T00:00:00"/>
        <d v="2025-08-12T00:00:00"/>
        <d v="2025-08-13T00:00:00"/>
        <d v="2025-08-14T00:00:00"/>
        <d v="2025-08-15T00:00:00"/>
        <d v="2025-08-16T00:00:00"/>
        <d v="2025-08-17T00:00:00"/>
        <d v="2025-08-19T00:00:00"/>
        <d v="2025-08-20T00:00:00"/>
        <d v="2025-08-21T00:00:00"/>
        <d v="2025-08-22T00:00:00"/>
        <d v="2025-08-23T00:00:00"/>
        <d v="2025-08-24T00:00:00"/>
        <d v="2025-08-25T00:00:00"/>
        <d v="2025-08-26T00:00:00"/>
        <d v="2025-08-27T00:00:00"/>
        <d v="2025-08-28T00:00:00"/>
        <d v="2025-08-29T00:00:00"/>
        <d v="2025-08-30T00:00:00"/>
        <d v="2025-08-31T00:00:00"/>
        <d v="2025-09-01T00:00:00"/>
        <d v="2025-09-02T00:00:00"/>
        <d v="2025-09-03T00:00:00"/>
        <d v="2025-09-04T00:00:00"/>
        <d v="2025-09-06T00:00:00"/>
        <d v="2025-09-07T00:00:00"/>
        <d v="2025-09-08T00:00:00"/>
        <d v="2025-09-09T00:00:00"/>
        <d v="2025-09-10T00:00:00"/>
        <d v="2025-09-11T00:00:00"/>
        <d v="2025-09-12T00:00:00"/>
        <d v="2025-09-13T00:00:00"/>
        <d v="2025-09-14T00:00:00"/>
        <d v="2025-09-15T00:00:00"/>
        <d v="2025-09-16T00:00:00"/>
        <d v="2025-09-17T00:00:00"/>
        <d v="2025-09-18T00:00:00"/>
        <d v="2025-09-19T00:00:00"/>
        <d v="2025-09-20T00:00:00"/>
        <d v="2025-09-21T00:00:00"/>
        <d v="2025-09-22T00:00:00"/>
        <d v="2025-09-23T00:00:00"/>
        <d v="2025-09-24T00:00:00"/>
        <d v="2025-09-25T00:00:00"/>
        <d v="2025-09-26T00:00:00"/>
        <d v="2025-09-27T00:00:00"/>
        <d v="2025-09-29T00:00:00"/>
        <d v="2025-09-30T00:00:00"/>
        <d v="2025-10-01T00:00:00"/>
        <d v="2025-10-02T00:00:00"/>
        <d v="2025-10-04T00:00:00"/>
        <d v="2025-10-05T00:00:00"/>
        <d v="2025-10-07T00:00:00"/>
        <d v="2025-10-08T00:00:00"/>
        <d v="2025-10-09T00:00:00"/>
        <d v="2025-10-10T00:00:00"/>
        <d v="2025-10-11T00:00:00"/>
        <d v="2025-10-12T00:00:00"/>
        <d v="2025-10-13T00:00:00"/>
        <d v="2025-10-14T00:00:00"/>
        <d v="2025-10-15T00:00:00"/>
        <d v="2025-10-16T00:00:00"/>
        <d v="2025-10-18T00:00:00"/>
        <d v="2025-10-19T00:00:00"/>
        <d v="2025-10-20T00:00:00"/>
        <d v="2025-10-21T00:00:00"/>
        <d v="2025-10-22T00:00:00"/>
        <d v="2025-10-23T00:00:00"/>
        <d v="2025-10-24T00:00:00"/>
        <d v="2025-10-26T00:00:00"/>
        <d v="2025-10-27T00:00:00"/>
        <d v="2025-10-28T00:00:00"/>
        <d v="2025-10-29T00:00:00"/>
        <d v="2025-10-30T00:00:00"/>
        <d v="2025-10-31T00:00:00"/>
        <d v="2025-11-01T00:00:00"/>
        <d v="2025-11-02T00:00:00"/>
        <d v="2025-11-03T00:00:00"/>
        <d v="2025-11-04T00:00:00"/>
        <d v="2025-11-05T00:00:00"/>
        <d v="2025-11-06T00:00:00"/>
        <d v="2025-11-07T00:00:00"/>
        <d v="2025-11-08T00:00:00"/>
        <d v="2025-11-09T00:00:00"/>
        <d v="2025-11-10T00:00:00"/>
        <d v="2025-11-11T00:00:00"/>
        <d v="2025-11-12T00:00:00"/>
        <d v="2025-11-13T00:00:00"/>
        <d v="2025-11-14T00:00:00"/>
        <d v="2025-11-15T00:00:00"/>
        <d v="2025-11-16T00:00:00"/>
        <d v="2025-11-17T00:00:00"/>
        <d v="2025-11-18T00:00:00"/>
        <d v="2025-11-19T00:00:00"/>
        <d v="2025-11-20T00:00:00"/>
        <d v="2025-11-22T00:00:00"/>
        <d v="2025-11-23T00:00:00"/>
        <d v="2025-11-24T00:00:00"/>
        <d v="2025-11-25T00:00:00"/>
        <d v="2025-11-26T00:00:00"/>
        <d v="2025-11-27T00:00:00"/>
        <d v="2025-11-28T00:00:00"/>
        <d v="2025-11-29T00:00:00"/>
        <d v="2025-11-30T00:00:00"/>
        <d v="2025-12-01T00:00:00"/>
        <d v="2025-12-02T00:00:00"/>
        <d v="2025-12-03T00:00:00"/>
        <d v="2025-12-04T00:00:00"/>
        <d v="2025-12-05T00:00:00"/>
        <d v="2025-12-06T00:00:00"/>
        <d v="2025-12-07T00:00:00"/>
        <d v="2025-12-08T00:00:00"/>
        <d v="2025-12-10T00:00:00"/>
        <d v="2025-12-11T00:00:00"/>
        <d v="2025-12-12T00:00:00"/>
        <d v="2025-12-13T00:00:00"/>
        <d v="2025-12-14T00:00:00"/>
        <d v="2025-12-15T00:00:00"/>
        <d v="2025-12-16T00:00:00"/>
        <d v="2025-12-17T00:00:00"/>
        <d v="2025-12-18T00:00:00"/>
        <d v="2025-12-19T00:00:00"/>
        <d v="2025-12-20T00:00:00"/>
        <d v="2025-12-21T00:00:00"/>
        <d v="2025-12-22T00:00:00"/>
        <d v="2025-12-23T00:00:00"/>
        <d v="2025-12-24T00:00:00"/>
        <d v="2025-12-25T00:00:00"/>
        <d v="2025-12-26T00:00:00"/>
        <d v="2025-12-27T00:00:00"/>
        <d v="2025-12-28T00:00:00"/>
        <d v="2025-12-29T00:00:00"/>
        <d v="2025-12-30T00:00:00"/>
        <d v="2025-12-31T00:00:00"/>
      </sharedItems>
      <fieldGroup par="11"/>
    </cacheField>
    <cacheField name="Customer" numFmtId="0">
      <sharedItems count="9">
        <s v="Aarav"/>
        <s v="Ananya"/>
        <s v="Neha"/>
        <s v="Priya"/>
        <s v="Rahul"/>
        <s v="Rohan"/>
        <s v="Sneha"/>
        <s v="Unknown"/>
        <s v="Vikram"/>
      </sharedItems>
    </cacheField>
    <cacheField name="Product" numFmtId="0">
      <sharedItems count="8">
        <s v="Chair"/>
        <s v="Desk"/>
        <s v="Headphones"/>
        <s v="Keyboard"/>
        <s v="Laptop"/>
        <s v="Monitor"/>
        <s v="Mouse"/>
        <s v="Printer"/>
      </sharedItems>
    </cacheField>
    <cacheField name="Category" numFmtId="0">
      <sharedItems count="2">
        <s v="Furniture"/>
        <s v="Technology"/>
      </sharedItems>
    </cacheField>
    <cacheField name="Region" numFmtId="0">
      <sharedItems count="4">
        <s v="East"/>
        <s v="North"/>
        <s v="South"/>
        <s v="West"/>
      </sharedItems>
    </cacheField>
    <cacheField name="Quantity" numFmtId="0">
      <sharedItems containsString="0" containsBlank="1" containsNumber="1" containsInteger="1" minValue="1" maxValue="7" count="8">
        <n v="1"/>
        <n v="2"/>
        <n v="3"/>
        <n v="4"/>
        <n v="5"/>
        <n v="6"/>
        <n v="7"/>
        <m/>
      </sharedItems>
    </cacheField>
    <cacheField name="Sales" numFmtId="0">
      <sharedItems containsString="0" containsBlank="1" containsNumber="1" minValue="500.87" maxValue="74967.05" count="999">
        <n v="500.87"/>
        <n v="548.67999999999995"/>
        <n v="609.79999999999995"/>
        <n v="648.41"/>
        <n v="895.85"/>
        <n v="1012.41"/>
        <n v="1084.2"/>
        <n v="1119.8399999999999"/>
        <n v="1123.0899999999999"/>
        <n v="1173.3699999999999"/>
        <n v="1174.54"/>
        <n v="1243.42"/>
        <n v="1266.19"/>
        <n v="1350.64"/>
        <n v="1401.68"/>
        <n v="1405.68"/>
        <n v="1524.04"/>
        <n v="1571.42"/>
        <n v="1625.75"/>
        <n v="1646.92"/>
        <n v="1850.24"/>
        <n v="1925.11"/>
        <n v="1926.29"/>
        <n v="1927.08"/>
        <n v="2132.54"/>
        <n v="2170.73"/>
        <n v="2360.39"/>
        <n v="2376.91"/>
        <n v="2673.15"/>
        <n v="2736.94"/>
        <n v="2742.74"/>
        <n v="2769.54"/>
        <n v="2820.61"/>
        <n v="2864.91"/>
        <n v="3008.89"/>
        <n v="3100.91"/>
        <n v="3183.4"/>
        <n v="3299.05"/>
        <n v="3400.28"/>
        <n v="3400.88"/>
        <n v="3403.96"/>
        <n v="3484.4"/>
        <n v="3506.14"/>
        <n v="3660.46"/>
        <n v="3770.55"/>
        <n v="3845.89"/>
        <n v="4196.2700000000004"/>
        <n v="4223.4399999999996"/>
        <n v="4243.1000000000004"/>
        <n v="4349.32"/>
        <n v="4361.7700000000004"/>
        <n v="4373.21"/>
        <n v="4474.43"/>
        <n v="4642.6099999999997"/>
        <n v="4685.12"/>
        <n v="4715.63"/>
        <n v="4744.92"/>
        <n v="4801.05"/>
        <n v="5104.7299999999996"/>
        <n v="5148.3599999999997"/>
        <n v="5158.21"/>
        <n v="5161.08"/>
        <n v="5268.47"/>
        <n v="5429.31"/>
        <n v="5451.52"/>
        <n v="5459.07"/>
        <n v="5489.53"/>
        <n v="5492.73"/>
        <n v="5510.57"/>
        <n v="5528.94"/>
        <n v="5592.31"/>
        <n v="5600.17"/>
        <n v="5619.17"/>
        <n v="5641.07"/>
        <n v="5643.92"/>
        <n v="5751.65"/>
        <n v="5792.1"/>
        <n v="5801.29"/>
        <n v="5944.58"/>
        <n v="6020.85"/>
        <n v="6130.98"/>
        <n v="6139.63"/>
        <n v="6179.82"/>
        <n v="6234.39"/>
        <n v="6234.97"/>
        <n v="6344.96"/>
        <n v="6380.99"/>
        <n v="6545.61"/>
        <n v="6629.29"/>
        <n v="6663.89"/>
        <n v="6724.8"/>
        <n v="6800.12"/>
        <n v="6840.21"/>
        <n v="6982.78"/>
        <n v="7084.68"/>
        <n v="7308.67"/>
        <n v="7358.99"/>
        <n v="7380.86"/>
        <n v="7400.6"/>
        <n v="7486.35"/>
        <n v="7571.39"/>
        <n v="7607.25"/>
        <n v="8022.87"/>
        <n v="8052.28"/>
        <n v="8084.37"/>
        <n v="8091.04"/>
        <n v="8137.44"/>
        <n v="8141.31"/>
        <n v="8348.24"/>
        <n v="8351.7900000000009"/>
        <n v="8389.98"/>
        <n v="8727.17"/>
        <n v="8813.68"/>
        <n v="8941.11"/>
        <n v="9096.9"/>
        <n v="9231.69"/>
        <n v="9257.57"/>
        <n v="9328.4500000000007"/>
        <n v="9848.73"/>
        <n v="9887.15"/>
        <n v="10026.08"/>
        <n v="10161.08"/>
        <n v="10191.01"/>
        <n v="10312.77"/>
        <n v="10503.48"/>
        <n v="10717.56"/>
        <n v="10954.18"/>
        <n v="11021.15"/>
        <n v="11141.73"/>
        <n v="11153.58"/>
        <n v="11233.87"/>
        <n v="11445.68"/>
        <n v="11472.03"/>
        <n v="11474.08"/>
        <n v="11710.18"/>
        <n v="11793.83"/>
        <n v="11827.62"/>
        <n v="11949.98"/>
        <n v="12009.67"/>
        <n v="12034.73"/>
        <n v="12041.94"/>
        <n v="12137.39"/>
        <n v="12157.52"/>
        <n v="12216.85"/>
        <n v="12382.17"/>
        <n v="12447.22"/>
        <n v="12454.46"/>
        <n v="12470.63"/>
        <n v="12521.53"/>
        <n v="12544.52"/>
        <n v="12621.13"/>
        <n v="12627.93"/>
        <n v="12646.13"/>
        <n v="12813.69"/>
        <n v="12848.24"/>
        <n v="12848.36"/>
        <n v="12965.44"/>
        <n v="12968.1"/>
        <n v="12978.09"/>
        <n v="13144.77"/>
        <n v="13156.13"/>
        <n v="13217.77"/>
        <n v="13291.2"/>
        <n v="13425.46"/>
        <n v="13546.67"/>
        <n v="13554.02"/>
        <n v="13574.13"/>
        <n v="13854.37"/>
        <n v="13854.54"/>
        <n v="13862.02"/>
        <n v="13862.67"/>
        <n v="14030.24"/>
        <n v="14121.41"/>
        <n v="14166.44"/>
        <n v="14255.12"/>
        <n v="14302.64"/>
        <n v="14330.68"/>
        <n v="14337.11"/>
        <n v="14367.12"/>
        <n v="14485.32"/>
        <n v="14500.07"/>
        <n v="14546.28"/>
        <n v="14663.02"/>
        <n v="14700.43"/>
        <n v="14724.03"/>
        <n v="14773.67"/>
        <n v="14942.8"/>
        <n v="15025.65"/>
        <n v="15039.91"/>
        <n v="15045.42"/>
        <n v="15133.23"/>
        <n v="15150.69"/>
        <n v="15170.96"/>
        <n v="15324.91"/>
        <n v="15345.64"/>
        <n v="15421.01"/>
        <n v="15567.94"/>
        <n v="15596.13"/>
        <n v="15658.72"/>
        <n v="15721.57"/>
        <n v="15731.4"/>
        <n v="15748.67"/>
        <n v="15797.3"/>
        <n v="15865.78"/>
        <n v="15927.15"/>
        <n v="15961.8"/>
        <n v="16084.32"/>
        <n v="16182.77"/>
        <n v="16204.09"/>
        <n v="16236.77"/>
        <n v="16266.87"/>
        <n v="16327.32"/>
        <n v="16473.28"/>
        <n v="16510.990000000002"/>
        <n v="16716.22"/>
        <n v="16756.46"/>
        <n v="16793.88"/>
        <n v="16794.310000000001"/>
        <n v="16856.77"/>
        <n v="16898.29"/>
        <n v="16927.57"/>
        <n v="16953.53"/>
        <n v="17044.650000000001"/>
        <n v="17065.919999999998"/>
        <n v="17209.86"/>
        <n v="17346.34"/>
        <n v="17536.419999999998"/>
        <n v="17551.22"/>
        <n v="17587.75"/>
        <n v="17605.060000000001"/>
        <n v="17622.09"/>
        <n v="17666.04"/>
        <n v="17785.349999999999"/>
        <n v="17821.7"/>
        <n v="17948.150000000001"/>
        <n v="17964.71"/>
        <n v="18005.52"/>
        <n v="18151.53"/>
        <n v="18192.150000000001"/>
        <n v="18241.93"/>
        <n v="18409.72"/>
        <n v="18491.490000000002"/>
        <n v="18491.8"/>
        <n v="18494.490000000002"/>
        <n v="18521.05"/>
        <n v="18527.3"/>
        <n v="18530.64"/>
        <n v="18633.05"/>
        <n v="18778.75"/>
        <n v="18876.07"/>
        <n v="18926.849999999999"/>
        <n v="18943.2"/>
        <n v="19004.03"/>
        <n v="19004.580000000002"/>
        <n v="19051.150000000001"/>
        <n v="19100.34"/>
        <n v="19121.79"/>
        <n v="19159.86"/>
        <n v="19191.53"/>
        <n v="19199.599999999999"/>
        <n v="19356.060000000001"/>
        <n v="19368.79"/>
        <n v="19606.5"/>
        <n v="19774.02"/>
        <n v="19835.86"/>
        <n v="19838.45"/>
        <n v="19887.63"/>
        <n v="19948.12"/>
        <n v="20111.93"/>
        <n v="20172.62"/>
        <n v="20188.580000000002"/>
        <n v="20215.310000000001"/>
        <n v="20266.8"/>
        <n v="20279.48"/>
        <n v="20421.45"/>
        <n v="20505.759999999998"/>
        <n v="20507.88"/>
        <n v="20529.59"/>
        <n v="20578.63"/>
        <n v="20675.07"/>
        <n v="20685.23"/>
        <n v="20696.669999999998"/>
        <n v="20736.669999999998"/>
        <n v="20759.98"/>
        <n v="20886.21"/>
        <n v="20918.330000000002"/>
        <n v="20965.43"/>
        <n v="21008.97"/>
        <n v="21085.77"/>
        <n v="21137.43"/>
        <n v="21171.119999999999"/>
        <n v="21200.03"/>
        <n v="21238.45"/>
        <n v="21258.91"/>
        <n v="21438.21"/>
        <n v="21480.400000000001"/>
        <n v="21544.2"/>
        <n v="21544.67"/>
        <n v="21545.96"/>
        <n v="21785.21"/>
        <n v="21789"/>
        <n v="21845.71"/>
        <n v="21915.89"/>
        <n v="21928.639999999999"/>
        <n v="22021.93"/>
        <n v="22044.46"/>
        <n v="22108.39"/>
        <n v="22213.84"/>
        <n v="22282.54"/>
        <n v="22593.71"/>
        <n v="22648.16"/>
        <n v="22804.06"/>
        <n v="22927.93"/>
        <n v="23030.25"/>
        <n v="23068.35"/>
        <n v="23143.72"/>
        <n v="23162.799999999999"/>
        <n v="23331.53"/>
        <n v="23354.86"/>
        <n v="23430.79"/>
        <n v="23579.200000000001"/>
        <n v="23580.61"/>
        <n v="23735.02"/>
        <n v="23801.96"/>
        <n v="23811.599999999999"/>
        <n v="23880.1"/>
        <n v="23883.72"/>
        <n v="23883.919999999998"/>
        <n v="24157.45"/>
        <n v="24426.58"/>
        <n v="24464.41"/>
        <n v="24565.54"/>
        <n v="24676.13"/>
        <n v="24734.15"/>
        <n v="24734.49"/>
        <n v="24805.919999999998"/>
        <n v="24834.62"/>
        <n v="24842.32"/>
        <n v="24953.37"/>
        <n v="25201.57"/>
        <n v="25248.23"/>
        <n v="25267.98"/>
        <n v="25355.32"/>
        <n v="25386.720000000001"/>
        <n v="25478.29"/>
        <n v="25502.98"/>
        <n v="25621.89"/>
        <n v="25827.9"/>
        <n v="25860.66"/>
        <n v="25971.94"/>
        <n v="25987.02"/>
        <n v="26027.06"/>
        <n v="26082.31"/>
        <n v="26208.74"/>
        <n v="26227.98"/>
        <n v="26316.05"/>
        <n v="26613.78"/>
        <n v="26665.84"/>
        <n v="26795.41"/>
        <n v="26802.25"/>
        <n v="26857.29"/>
        <n v="26893.21"/>
        <n v="26904.66"/>
        <n v="26941.89"/>
        <n v="26971.32"/>
        <n v="27088.01"/>
        <n v="27098.69"/>
        <n v="27105.53"/>
        <n v="27214.1"/>
        <n v="27351.8"/>
        <n v="27424.58"/>
        <n v="27870.61"/>
        <n v="27941.87"/>
        <n v="27949.439999999999"/>
        <n v="28011.42"/>
        <n v="28033.279999999999"/>
        <n v="28135.11"/>
        <n v="28147.91"/>
        <n v="28174.31"/>
        <n v="28193.439999999999"/>
        <n v="28226.91"/>
        <n v="28251.919999999998"/>
        <n v="28253.73"/>
        <n v="28297.64"/>
        <n v="28357.119999999999"/>
        <n v="28403.84"/>
        <n v="28472.44"/>
        <n v="28791.49"/>
        <n v="28848.57"/>
        <n v="29018.51"/>
        <n v="29134.45"/>
        <n v="29227.02"/>
        <n v="29355.53"/>
        <n v="29393.040000000001"/>
        <n v="29497.67"/>
        <n v="29510.67"/>
        <n v="29631.95"/>
        <n v="29693.52"/>
        <n v="29710.97"/>
        <n v="29738.13"/>
        <n v="29758.44"/>
        <n v="29793.040000000001"/>
        <n v="30043.25"/>
        <n v="30122.12"/>
        <n v="30138.83"/>
        <n v="30140.99"/>
        <n v="30228.13"/>
        <n v="30440.6"/>
        <n v="30479.27"/>
        <n v="30568.27"/>
        <n v="30637.29"/>
        <n v="30806.959999999999"/>
        <n v="30907.3"/>
        <n v="31001.200000000001"/>
        <n v="31020.49"/>
        <n v="31133.77"/>
        <n v="31134.21"/>
        <n v="31190.880000000001"/>
        <n v="31475.25"/>
        <n v="31534.15"/>
        <n v="31665.87"/>
        <n v="31686.240000000002"/>
        <n v="31735.74"/>
        <n v="31748.880000000001"/>
        <n v="31985.88"/>
        <n v="31993.279999999999"/>
        <n v="32038.47"/>
        <n v="32151.39"/>
        <n v="32179.5"/>
        <n v="32356.3"/>
        <n v="32438.3"/>
        <n v="32456.35"/>
        <n v="32531.84"/>
        <n v="32533.9"/>
        <n v="32685.41"/>
        <n v="32709.79"/>
        <n v="32741.13"/>
        <n v="32744.79"/>
        <n v="32793.68"/>
        <n v="32801.919999999998"/>
        <n v="32834.559999999998"/>
        <n v="32863.050000000003"/>
        <n v="33027.760000000002"/>
        <n v="33056.19"/>
        <n v="33105.769999999997"/>
        <n v="33144.31"/>
        <n v="33221.19"/>
        <n v="33260.67"/>
        <n v="33450.89"/>
        <n v="33469.64"/>
        <n v="33488.46"/>
        <n v="33572"/>
        <n v="33692.85"/>
        <n v="33780.230000000003"/>
        <n v="33851.67"/>
        <n v="33953.39"/>
        <n v="34043.94"/>
        <n v="34121.410000000003"/>
        <n v="34322.25"/>
        <n v="34348.730000000003"/>
        <n v="34379.94"/>
        <n v="34410.31"/>
        <n v="34645.11"/>
        <n v="34653.14"/>
        <n v="34691.07"/>
        <n v="34739.01"/>
        <n v="34745.03"/>
        <n v="34897.85"/>
        <n v="35085.769999999997"/>
        <n v="35143.21"/>
        <n v="35239.31"/>
        <n v="35240.080000000002"/>
        <n v="35371.14"/>
        <n v="35448.49"/>
        <n v="35586.54"/>
        <n v="35807.129999999997"/>
        <n v="35832"/>
        <n v="35987.01"/>
        <n v="36029.06"/>
        <n v="36326.32"/>
        <n v="36486.46"/>
        <n v="36496.97"/>
        <n v="36557.21"/>
        <n v="36598.080000000002"/>
        <n v="36639.550000000003"/>
        <n v="36716.720000000001"/>
        <n v="36801.269999999997"/>
        <n v="36843.660000000003"/>
        <n v="36892.92"/>
        <n v="36959.74"/>
        <n v="36977.019999999997"/>
        <n v="37086.629999999997"/>
        <n v="37196.400000000001"/>
        <n v="37471.279999999999"/>
        <n v="37566.720000000001"/>
        <n v="37667.730000000003"/>
        <n v="37758.400000000001"/>
        <n v="37776.78"/>
        <n v="37794.97"/>
        <n v="37845.040000000001"/>
        <n v="37863.089999999997"/>
        <n v="37946.03"/>
        <n v="37983.370000000003"/>
        <n v="38107.269999999997"/>
        <n v="38160.400000000001"/>
        <n v="38169.74"/>
        <n v="38193.86"/>
        <n v="38265.57"/>
        <n v="38275.94"/>
        <n v="38412.35"/>
        <n v="38484.120000000003"/>
        <n v="38538.269999999997"/>
        <n v="38782.160000000003"/>
        <n v="38862.53"/>
        <n v="38867.919999999998"/>
        <n v="38994.03"/>
        <n v="39091.599999999999"/>
        <n v="39143.22"/>
        <n v="39182.230000000003"/>
        <n v="39347.949999999997"/>
        <n v="39348.74"/>
        <n v="39427.01"/>
        <n v="39592.81"/>
        <n v="39811.97"/>
        <n v="39959.65"/>
        <n v="40171.550000000003"/>
        <n v="40398.76"/>
        <n v="40406.42"/>
        <n v="40427.160000000003"/>
        <n v="40582.69"/>
        <n v="40605.730000000003"/>
        <n v="40662.54"/>
        <n v="40797.42"/>
        <n v="40861.19"/>
        <n v="41046.92"/>
        <n v="41065.019999999997"/>
        <n v="41209.06"/>
        <n v="41220"/>
        <n v="41357.230000000003"/>
        <n v="41389.97"/>
        <n v="41561.42"/>
        <n v="41673.339999999997"/>
        <n v="41676.68"/>
        <n v="41726.15"/>
        <n v="41980.480000000003"/>
        <n v="41987.44"/>
        <n v="42021.62"/>
        <n v="42149.919999999998"/>
        <n v="42270.53"/>
        <n v="42374.42"/>
        <n v="42472.95"/>
        <n v="42473.919999999998"/>
        <n v="42523.519999999997"/>
        <n v="42598.86"/>
        <n v="42650.73"/>
        <n v="42680.46"/>
        <n v="42795.69"/>
        <n v="42930.71"/>
        <n v="43030.37"/>
        <n v="43058.91"/>
        <n v="43095.08"/>
        <n v="43159.24"/>
        <n v="43284.42"/>
        <n v="43464.33"/>
        <n v="43495.63"/>
        <n v="43552.89"/>
        <n v="43621.1"/>
        <n v="43658.93"/>
        <n v="43716.62"/>
        <n v="43762.080000000002"/>
        <n v="43780.800000000003"/>
        <n v="43830.86"/>
        <n v="43927.99"/>
        <n v="43947.71"/>
        <n v="43986.66"/>
        <n v="43991.07"/>
        <n v="44041.440000000002"/>
        <n v="44226.77"/>
        <n v="44275.15"/>
        <n v="44414.32"/>
        <n v="44502.52"/>
        <n v="44539.21"/>
        <n v="44666.59"/>
        <n v="44690.29"/>
        <n v="44720.29"/>
        <n v="44843.360000000001"/>
        <n v="44850.09"/>
        <n v="44965.46"/>
        <n v="44969.85"/>
        <n v="44988.07"/>
        <n v="45026.29"/>
        <n v="45128.82"/>
        <n v="45148.01"/>
        <n v="45315.76"/>
        <n v="45470.97"/>
        <n v="45620.02"/>
        <n v="45701.51"/>
        <n v="45710.1"/>
        <n v="45777.57"/>
        <n v="45819.8"/>
        <n v="45922.46"/>
        <n v="45945.55"/>
        <n v="45985.73"/>
        <n v="46054.04"/>
        <n v="46190.23"/>
        <n v="46327.12"/>
        <n v="46414.39"/>
        <n v="46450.38"/>
        <n v="46654.7"/>
        <n v="46725.3"/>
        <n v="46786.29"/>
        <n v="46864.57"/>
        <n v="46885.97"/>
        <n v="46890.37"/>
        <n v="46961.83"/>
        <n v="46968.86"/>
        <n v="46987.89"/>
        <n v="47033.75"/>
        <n v="47053.120000000003"/>
        <n v="47236.01"/>
        <n v="47317.77"/>
        <n v="47453.42"/>
        <n v="47503.67"/>
        <n v="47540.71"/>
        <n v="47605.02"/>
        <n v="47613.15"/>
        <n v="47760.09"/>
        <n v="47877.55"/>
        <n v="47909.88"/>
        <n v="48007.77"/>
        <n v="48225.83"/>
        <n v="48309.21"/>
        <n v="48533.52"/>
        <n v="48799.69"/>
        <n v="48813.61"/>
        <n v="48823.6"/>
        <n v="48874.51"/>
        <n v="48888.42"/>
        <n v="49232.89"/>
        <n v="49248.480000000003"/>
        <n v="49271.48"/>
        <n v="49310.44"/>
        <n v="49419.01"/>
        <n v="49426.35"/>
        <n v="49428.33"/>
        <n v="49598.879999999997"/>
        <n v="49633.55"/>
        <n v="49745.56"/>
        <n v="49794.21"/>
        <n v="49795.48"/>
        <n v="49812.57"/>
        <n v="49816.69"/>
        <n v="49851.33"/>
        <n v="49897.02"/>
        <n v="49932.51"/>
        <n v="49984.34"/>
        <n v="50151.5"/>
        <n v="50161.74"/>
        <n v="50180.13"/>
        <n v="50207.32"/>
        <n v="50248.160000000003"/>
        <n v="50256.160000000003"/>
        <n v="50501.23"/>
        <n v="50525.2"/>
        <n v="50598.31"/>
        <n v="50616.37"/>
        <n v="50620.959999999999"/>
        <n v="50628.94"/>
        <n v="50686.58"/>
        <n v="50712.57"/>
        <n v="50714.48"/>
        <n v="50771.58"/>
        <n v="50863.96"/>
        <n v="50932.09"/>
        <n v="50965.79"/>
        <n v="50976.11"/>
        <n v="51048.25"/>
        <n v="51131.71"/>
        <n v="51168.34"/>
        <n v="51542.51"/>
        <n v="51565.57"/>
        <n v="51803.06"/>
        <n v="51970.86"/>
        <n v="51983.66"/>
        <n v="52059.49"/>
        <n v="52080.74"/>
        <n v="52174.55"/>
        <n v="52199.24"/>
        <n v="52247.360000000001"/>
        <n v="52250.75"/>
        <n v="52363.63"/>
        <n v="52384.02"/>
        <n v="52436.62"/>
        <n v="52442.1"/>
        <n v="52571.69"/>
        <n v="52623.15"/>
        <n v="52734.9"/>
        <n v="52737.15"/>
        <n v="52809.88"/>
        <n v="52925.63"/>
        <n v="52989.3"/>
        <n v="53012.89"/>
        <n v="53032.87"/>
        <n v="53056.83"/>
        <n v="53115.34"/>
        <n v="53143.93"/>
        <n v="53201.08"/>
        <n v="53303.040000000001"/>
        <n v="53344.4"/>
        <n v="53523.35"/>
        <n v="53590.29"/>
        <n v="53696.93"/>
        <n v="53717.33"/>
        <n v="53724.6"/>
        <n v="53774.96"/>
        <n v="53845.72"/>
        <n v="53871.58"/>
        <n v="54015.67"/>
        <n v="54024.82"/>
        <n v="54046.1"/>
        <n v="54343.96"/>
        <n v="54396.55"/>
        <n v="54396.86"/>
        <n v="54482.57"/>
        <n v="54512.95"/>
        <n v="54665.73"/>
        <n v="54800.18"/>
        <n v="54809.09"/>
        <n v="54836.19"/>
        <n v="55063.88"/>
        <n v="55086.080000000002"/>
        <n v="55088.639999999999"/>
        <n v="55216.07"/>
        <n v="55371.87"/>
        <n v="55438.239999999998"/>
        <n v="55472.43"/>
        <n v="55474.85"/>
        <n v="55534.87"/>
        <n v="55560.49"/>
        <n v="55752.29"/>
        <n v="55771.28"/>
        <n v="55797.86"/>
        <n v="55844.67"/>
        <n v="56239.7"/>
        <n v="56252.51"/>
        <n v="56254.63"/>
        <n v="56373.35"/>
        <n v="56394.8"/>
        <n v="56432.34"/>
        <n v="56445.01"/>
        <n v="56462.7"/>
        <n v="56505.15"/>
        <n v="56663.17"/>
        <n v="56691.5"/>
        <n v="56692.74"/>
        <n v="56876.4"/>
        <n v="56900.08"/>
        <n v="56919.61"/>
        <n v="57024.29"/>
        <n v="57028.83"/>
        <n v="57045.89"/>
        <n v="57067.29"/>
        <n v="57162.89"/>
        <n v="57183.42"/>
        <n v="57195.09"/>
        <n v="57291.55"/>
        <n v="57302.3"/>
        <n v="57444.33"/>
        <n v="57450.83"/>
        <n v="57533.23"/>
        <n v="57605.37"/>
        <n v="57823.94"/>
        <n v="57948.65"/>
        <n v="57986.2"/>
        <n v="58071.47"/>
        <n v="58074.31"/>
        <n v="58255.68"/>
        <n v="58390.17"/>
        <n v="58462.879999999997"/>
        <n v="58543.14"/>
        <n v="58637.23"/>
        <n v="58657.06"/>
        <n v="58756.02"/>
        <n v="58888.5"/>
        <n v="58890.11"/>
        <n v="59072.32"/>
        <n v="59160.33"/>
        <n v="59172.41"/>
        <n v="59302.32"/>
        <n v="59471.09"/>
        <n v="59548.31"/>
        <n v="59548.34"/>
        <n v="59560.480000000003"/>
        <n v="59589.14"/>
        <n v="59796.52"/>
        <n v="59819.99"/>
        <n v="59852.76"/>
        <n v="59931.05"/>
        <n v="59972.84"/>
        <n v="60100.26"/>
        <n v="60207.71"/>
        <n v="60296.7"/>
        <n v="60309.41"/>
        <n v="60323.65"/>
        <n v="60363.56"/>
        <n v="60383.46"/>
        <n v="60384.18"/>
        <n v="60428.85"/>
        <n v="60434.85"/>
        <n v="60479.23"/>
        <n v="60596.55"/>
        <n v="60598.67"/>
        <n v="60618.93"/>
        <n v="60626.78"/>
        <n v="60772.26"/>
        <n v="60910.45"/>
        <n v="61152.36"/>
        <n v="61213.01"/>
        <n v="61350.07"/>
        <n v="61364.56"/>
        <n v="61376.05"/>
        <n v="61396.88"/>
        <n v="61693.43"/>
        <n v="61726.41"/>
        <n v="61767.4"/>
        <n v="61812.29"/>
        <n v="61943.37"/>
        <n v="61993.47"/>
        <n v="62015.47"/>
        <n v="62100.959999999999"/>
        <n v="62149.22"/>
        <n v="62152.7"/>
        <n v="62227.39"/>
        <n v="62405.71"/>
        <n v="62545.86"/>
        <n v="62675.6"/>
        <n v="62769.03"/>
        <n v="62790.77"/>
        <n v="62865.41"/>
        <n v="62883.85"/>
        <n v="62924.17"/>
        <n v="62942.55"/>
        <n v="62948.17"/>
        <n v="62967.64"/>
        <n v="63005.3"/>
        <n v="63018.94"/>
        <n v="63065.22"/>
        <n v="63088.05"/>
        <n v="63327.8"/>
        <n v="63351.9"/>
        <n v="63442.92"/>
        <n v="63461.5"/>
        <n v="63630.400000000001"/>
        <n v="63679.14"/>
        <n v="63684.14"/>
        <n v="63707.69"/>
        <n v="64014.78"/>
        <n v="64106.98"/>
        <n v="64195.56"/>
        <n v="64199.75"/>
        <n v="64312.02"/>
        <n v="64422.73"/>
        <n v="64477.94"/>
        <n v="64481.85"/>
        <n v="64554.7"/>
        <n v="64695.97"/>
        <n v="64734.12"/>
        <n v="64766.720000000001"/>
        <n v="64793.26"/>
        <n v="64900.28"/>
        <n v="64917.09"/>
        <n v="64964.53"/>
        <n v="65024.12"/>
        <n v="65074.39"/>
        <n v="65354.26"/>
        <n v="65364.84"/>
        <n v="65420.35"/>
        <n v="65618.350000000006"/>
        <n v="65753.289999999994"/>
        <n v="65785.8"/>
        <n v="65862.61"/>
        <n v="65871.520000000004"/>
        <n v="65999.34"/>
        <n v="66132.490000000005"/>
        <n v="66185.95"/>
        <n v="66250.710000000006"/>
        <n v="66277.149999999994"/>
        <n v="66283.039999999994"/>
        <n v="66401.72"/>
        <n v="66421.710000000006"/>
        <n v="66513.960000000006"/>
        <n v="66664.81"/>
        <n v="66740.03"/>
        <n v="66769.19"/>
        <n v="66835.509999999995"/>
        <n v="66868.740000000005"/>
        <n v="66995.59"/>
        <n v="67110.03"/>
        <n v="67203.28"/>
        <n v="67219.429999999993"/>
        <n v="67227.77"/>
        <n v="67353.759999999995"/>
        <n v="67394.98"/>
        <n v="67621.59"/>
        <n v="67682.17"/>
        <n v="67694.539999999994"/>
        <n v="67874.8"/>
        <n v="68003.490000000005"/>
        <n v="68133.97"/>
        <n v="68138.460000000006"/>
        <n v="68163.02"/>
        <n v="68178.37"/>
        <n v="68233.56"/>
        <n v="68340.13"/>
        <n v="68577.240000000005"/>
        <n v="68633.88"/>
        <n v="68908.81"/>
        <n v="68922.77"/>
        <n v="69005.06"/>
        <n v="69095.100000000006"/>
        <n v="69097.11"/>
        <n v="69114.09"/>
        <n v="69137.41"/>
        <n v="69501.460000000006"/>
        <n v="69569.740000000005"/>
        <n v="69570.720000000001"/>
        <n v="69649.570000000007"/>
        <n v="69682.98"/>
        <n v="69720.89"/>
        <n v="69721.279999999999"/>
        <n v="69986.929999999993"/>
        <n v="70002.899999999994"/>
        <n v="70023.78"/>
        <n v="70193.600000000006"/>
        <n v="70252.91"/>
        <n v="70378.41"/>
        <n v="70460.600000000006"/>
        <n v="70588.45"/>
        <n v="70613.5"/>
        <n v="70656.05"/>
        <n v="70805.77"/>
        <n v="70861.42"/>
        <n v="70882.850000000006"/>
        <n v="71011.009999999995"/>
        <n v="71031.66"/>
        <n v="71058.25"/>
        <n v="71063.53"/>
        <n v="71309.210000000006"/>
        <n v="71344.179999999993"/>
        <n v="71381.03"/>
        <n v="71381.52"/>
        <n v="71382.64"/>
        <n v="71386.06"/>
        <n v="71440.52"/>
        <n v="71484.72"/>
        <n v="71839.789999999994"/>
        <n v="71866.09"/>
        <n v="72009.78"/>
        <n v="72030.100000000006"/>
        <n v="72066.710000000006"/>
        <n v="72088.55"/>
        <n v="72131.179999999993"/>
        <n v="72270.34"/>
        <n v="72393.649999999994"/>
        <n v="72529.990000000005"/>
        <n v="72544.13"/>
        <n v="72598.23"/>
        <n v="72620.899999999994"/>
        <n v="72621.69"/>
        <n v="72656.03"/>
        <n v="72759.53"/>
        <n v="72784.149999999994"/>
        <n v="72815.399999999994"/>
        <n v="72994.22"/>
        <n v="72994.320000000007"/>
        <n v="73017.009999999995"/>
        <n v="73163.06"/>
        <n v="73287.02"/>
        <n v="73309.440000000002"/>
        <n v="73400.149999999994"/>
        <n v="73537.47"/>
        <n v="73593.279999999999"/>
        <n v="73595.210000000006"/>
        <n v="73597.75"/>
        <n v="73598.84"/>
        <n v="73871.95"/>
        <n v="74214.11"/>
        <n v="74263.11"/>
        <n v="74305.600000000006"/>
        <n v="74497.5"/>
        <n v="74614.039999999994"/>
        <n v="74674.52"/>
        <n v="74713.75"/>
        <n v="74790.09"/>
        <n v="74794.22"/>
        <n v="74823.31"/>
        <n v="74917.5"/>
        <n v="74967.05"/>
        <m/>
      </sharedItems>
    </cacheField>
    <cacheField name="Discount" numFmtId="0">
      <sharedItems containsString="0" containsBlank="1" containsNumber="1" minValue="0" maxValue="0.25" count="7">
        <n v="0"/>
        <n v="0.05"/>
        <n v="0.1"/>
        <n v="0.15"/>
        <n v="0.2"/>
        <n v="0.25"/>
        <m/>
      </sharedItems>
    </cacheField>
    <cacheField name="Profit" numFmtId="0">
      <sharedItems containsString="0" containsBlank="1" containsNumber="1" minValue="-500" maxValue="11985.58" count="999">
        <n v="-500"/>
        <n v="52.71"/>
        <n v="57.15"/>
        <n v="61.27"/>
        <n v="122.26"/>
        <n v="123.9"/>
        <n v="127.25"/>
        <n v="133.44"/>
        <n v="137.87"/>
        <n v="158.59"/>
        <n v="168.43"/>
        <n v="175.63"/>
        <n v="178.05"/>
        <n v="193.44"/>
        <n v="208.08"/>
        <n v="215.65"/>
        <n v="219.65"/>
        <n v="241.54"/>
        <n v="290.64999999999998"/>
        <n v="301.06"/>
        <n v="311.07"/>
        <n v="319.64999999999998"/>
        <n v="336.16"/>
        <n v="351.13"/>
        <n v="352.92"/>
        <n v="373.92"/>
        <n v="461.45"/>
        <n v="475.3"/>
        <n v="485.71"/>
        <n v="488.72"/>
        <n v="508.89"/>
        <n v="515.54999999999995"/>
        <n v="519.22"/>
        <n v="520.37"/>
        <n v="525.75"/>
        <n v="527.07000000000005"/>
        <n v="531.99"/>
        <n v="545.89"/>
        <n v="565.04999999999995"/>
        <n v="589.55999999999995"/>
        <n v="614"/>
        <n v="638.19000000000005"/>
        <n v="639.07000000000005"/>
        <n v="642.79"/>
        <n v="649.6"/>
        <n v="662.6"/>
        <n v="667.31"/>
        <n v="680.29"/>
        <n v="681.28"/>
        <n v="690.94"/>
        <n v="693.27"/>
        <n v="702.59"/>
        <n v="704.06"/>
        <n v="706.85"/>
        <n v="716.1"/>
        <n v="721.88"/>
        <n v="735.83"/>
        <n v="748.57"/>
        <n v="762.43"/>
        <n v="769.71"/>
        <n v="790.26"/>
        <n v="796.05"/>
        <n v="812.34"/>
        <n v="857.88"/>
        <n v="864.83"/>
        <n v="867.87"/>
        <n v="871.61"/>
        <n v="874.99"/>
        <n v="892.9"/>
        <n v="919.18"/>
        <n v="926.7"/>
        <n v="945.01"/>
        <n v="980.39"/>
        <n v="1002.6"/>
        <n v="1012.94"/>
        <n v="1024.82"/>
        <n v="1036.74"/>
        <n v="1044.52"/>
        <n v="1065.3499999999999"/>
        <n v="1070.57"/>
        <n v="1086.1400000000001"/>
        <n v="1089.26"/>
        <n v="1094.99"/>
        <n v="1099.07"/>
        <n v="1103.21"/>
        <n v="1122.6300000000001"/>
        <n v="1141.3399999999999"/>
        <n v="1142.49"/>
        <n v="1154.77"/>
        <n v="1205.5"/>
        <n v="1208.74"/>
        <n v="1213.53"/>
        <n v="1238.96"/>
        <n v="1239.98"/>
        <n v="1309.55"/>
        <n v="1318.62"/>
        <n v="1324.15"/>
        <n v="1326.27"/>
        <n v="1348.76"/>
        <n v="1352.71"/>
        <n v="1362.86"/>
        <n v="1371.71"/>
        <n v="1395.46"/>
        <n v="1459.77"/>
        <n v="1473.73"/>
        <n v="1474.56"/>
        <n v="1476.6"/>
        <n v="1483.44"/>
        <n v="1488.34"/>
        <n v="1499.57"/>
        <n v="1513.85"/>
        <n v="1522.81"/>
        <n v="1525.23"/>
        <n v="1529.96"/>
        <n v="1557.08"/>
        <n v="1592.4"/>
        <n v="1607.72"/>
        <n v="1612.07"/>
        <n v="1618.89"/>
        <n v="1623.66"/>
        <n v="1630.61"/>
        <n v="1639.47"/>
        <n v="1641.53"/>
        <n v="1647.66"/>
        <n v="1656.48"/>
        <n v="1665.85"/>
        <n v="1690.74"/>
        <n v="1700.6"/>
        <n v="1703.54"/>
        <n v="1714.09"/>
        <n v="1716.43"/>
        <n v="1722.85"/>
        <n v="1737.33"/>
        <n v="1756.63"/>
        <n v="1794.95"/>
        <n v="1803.01"/>
        <n v="1808.6"/>
        <n v="1818.1"/>
        <n v="1824.66"/>
        <n v="1863.33"/>
        <n v="1880.08"/>
        <n v="1887.72"/>
        <n v="1896.52"/>
        <n v="1911.49"/>
        <n v="1946.9"/>
        <n v="1960.56"/>
        <n v="1979.3"/>
        <n v="1979.42"/>
        <n v="1982.25"/>
        <n v="2013.23"/>
        <n v="2027.72"/>
        <n v="2035.91"/>
        <n v="2036.44"/>
        <n v="2036.75"/>
        <n v="2052.42"/>
        <n v="2055.38"/>
        <n v="2057.84"/>
        <n v="2060.9299999999998"/>
        <n v="2067.2800000000002"/>
        <n v="2067.86"/>
        <n v="2071.48"/>
        <n v="2087.0300000000002"/>
        <n v="2103.36"/>
        <n v="2134.19"/>
        <n v="2189.4299999999998"/>
        <n v="2190.1799999999998"/>
        <n v="2191.0100000000002"/>
        <n v="2202.9"/>
        <n v="2208.86"/>
        <n v="2210.38"/>
        <n v="2211.66"/>
        <n v="2222.7199999999998"/>
        <n v="2234.62"/>
        <n v="2249.34"/>
        <n v="2252.4"/>
        <n v="2270.0300000000002"/>
        <n v="2277.7199999999998"/>
        <n v="2286.14"/>
        <n v="2310.89"/>
        <n v="2319.0100000000002"/>
        <n v="2322.04"/>
        <n v="2344.59"/>
        <n v="2344.6799999999998"/>
        <n v="2347.48"/>
        <n v="2352.48"/>
        <n v="2379.75"/>
        <n v="2385.7199999999998"/>
        <n v="2388.77"/>
        <n v="2395.7199999999998"/>
        <n v="2398.02"/>
        <n v="2400.42"/>
        <n v="2410.79"/>
        <n v="2423.65"/>
        <n v="2423.8000000000002"/>
        <n v="2430.6799999999998"/>
        <n v="2461.4499999999998"/>
        <n v="2482.2399999999998"/>
        <n v="2487.7399999999998"/>
        <n v="2488.5700000000002"/>
        <n v="2488.85"/>
        <n v="2490.69"/>
        <n v="2497.39"/>
        <n v="2509.2399999999998"/>
        <n v="2511.46"/>
        <n v="2521.4699999999998"/>
        <n v="2539.37"/>
        <n v="2548.71"/>
        <n v="2555.8000000000002"/>
        <n v="2560.7800000000002"/>
        <n v="2580.36"/>
        <n v="2607.2399999999998"/>
        <n v="2631.58"/>
        <n v="2664.32"/>
        <n v="2674.64"/>
        <n v="2686.78"/>
        <n v="2731.38"/>
        <n v="2734.66"/>
        <n v="2748.19"/>
        <n v="2762.39"/>
        <n v="2765.77"/>
        <n v="2768.41"/>
        <n v="2778.56"/>
        <n v="2811.42"/>
        <n v="2825.09"/>
        <n v="2831.1"/>
        <n v="2841.13"/>
        <n v="2855.32"/>
        <n v="2877.49"/>
        <n v="2887.93"/>
        <n v="2897.56"/>
        <n v="2906.84"/>
        <n v="2915.85"/>
        <n v="2926.01"/>
        <n v="2927.61"/>
        <n v="2931.92"/>
        <n v="2946.13"/>
        <n v="2965.74"/>
        <n v="2999.94"/>
        <n v="3001.19"/>
        <n v="3009.2"/>
        <n v="3020.05"/>
        <n v="3020.83"/>
        <n v="3023.06"/>
        <n v="3034.44"/>
        <n v="3037.18"/>
        <n v="3063.47"/>
        <n v="3065.16"/>
        <n v="3111.49"/>
        <n v="3116.93"/>
        <n v="3121.9"/>
        <n v="3128.7"/>
        <n v="3142.57"/>
        <n v="3143.91"/>
        <n v="3167.15"/>
        <n v="3170.89"/>
        <n v="3172.93"/>
        <n v="3185.78"/>
        <n v="3262.13"/>
        <n v="3266.48"/>
        <n v="3283.18"/>
        <n v="3318.02"/>
        <n v="3324.16"/>
        <n v="3343.02"/>
        <n v="3357.21"/>
        <n v="3380.4"/>
        <n v="3384.15"/>
        <n v="3403.18"/>
        <n v="3417.81"/>
        <n v="3418.92"/>
        <n v="3426.48"/>
        <n v="3429.05"/>
        <n v="3435.25"/>
        <n v="3446"/>
        <n v="3458.21"/>
        <n v="3463.23"/>
        <n v="3482.29"/>
        <n v="3485.76"/>
        <n v="3493.81"/>
        <n v="3503.17"/>
        <n v="3525.98"/>
        <n v="3531.76"/>
        <n v="3538.34"/>
        <n v="3606.92"/>
        <n v="3609.42"/>
        <n v="3610.83"/>
        <n v="3611.89"/>
        <n v="3614.36"/>
        <n v="3633.78"/>
        <n v="3634.16"/>
        <n v="3646.55"/>
        <n v="3664.47"/>
        <n v="3668.16"/>
        <n v="3673.48"/>
        <n v="3675.46"/>
        <n v="3688.66"/>
        <n v="3693.59"/>
        <n v="3711.66"/>
        <n v="3726.77"/>
        <n v="3728.44"/>
        <n v="3748.16"/>
        <n v="3750.82"/>
        <n v="3758.19"/>
        <n v="3779.17"/>
        <n v="3780.67"/>
        <n v="3785.55"/>
        <n v="3789.39"/>
        <n v="3798.75"/>
        <n v="3821.82"/>
        <n v="3827.41"/>
        <n v="3831.66"/>
        <n v="3837.46"/>
        <n v="3850.57"/>
        <n v="3878.8"/>
        <n v="3882.77"/>
        <n v="3884.21"/>
        <n v="3885.91"/>
        <n v="3898.71"/>
        <n v="3947.73"/>
        <n v="3948.34"/>
        <n v="3967.67"/>
        <n v="3967.72"/>
        <n v="3968.21"/>
        <n v="3979.43"/>
        <n v="3995.36"/>
        <n v="4012.82"/>
        <n v="4019.46"/>
        <n v="4022.5"/>
        <n v="4026.12"/>
        <n v="4043.6"/>
        <n v="4046.59"/>
        <n v="4050.73"/>
        <n v="4051.8"/>
        <n v="4063.01"/>
        <n v="4069.06"/>
        <n v="4081.1"/>
        <n v="4098.9399999999996"/>
        <n v="4103.93"/>
        <n v="4113.05"/>
        <n v="4127.87"/>
        <n v="4132.6099999999997"/>
        <n v="4135.1000000000004"/>
        <n v="4137.7299999999996"/>
        <n v="4138.4799999999996"/>
        <n v="4143.96"/>
        <n v="4148.01"/>
        <n v="4149.17"/>
        <n v="4152.1400000000003"/>
        <n v="4161.8900000000003"/>
        <n v="4172.95"/>
        <n v="4179.68"/>
        <n v="4196.16"/>
        <n v="4196.68"/>
        <n v="4209.22"/>
        <n v="4218.54"/>
        <n v="4231.76"/>
        <n v="4252.22"/>
        <n v="4260.3100000000004"/>
        <n v="4274"/>
        <n v="4289.83"/>
        <n v="4290.24"/>
        <n v="4297.5"/>
        <n v="4303.7"/>
        <n v="4315.9399999999996"/>
        <n v="4318.45"/>
        <n v="4325.84"/>
        <n v="4381.8999999999996"/>
        <n v="4387.6400000000003"/>
        <n v="4390.8999999999996"/>
        <n v="4392.68"/>
        <n v="4433.24"/>
        <n v="4450.59"/>
        <n v="4461.18"/>
        <n v="4474.2700000000004"/>
        <n v="4483.1400000000003"/>
        <n v="4495.92"/>
        <n v="4496.38"/>
        <n v="4529.16"/>
        <n v="4551.28"/>
        <n v="4553.5600000000004"/>
        <n v="4554.9799999999996"/>
        <n v="4555.79"/>
        <n v="4557.5600000000004"/>
        <n v="4559.49"/>
        <n v="4587.8599999999997"/>
        <n v="4610.32"/>
        <n v="4616.38"/>
        <n v="4631.6000000000004"/>
        <n v="4644.96"/>
        <n v="4663.3100000000004"/>
        <n v="4666.1400000000003"/>
        <n v="4672.3500000000004"/>
        <n v="4677.32"/>
        <n v="4686.2700000000004"/>
        <n v="4701.04"/>
        <n v="4732.1400000000003"/>
        <n v="4737"/>
        <n v="4747.8100000000004"/>
        <n v="4750.18"/>
        <n v="4752.99"/>
        <n v="4753.9399999999996"/>
        <n v="4755.37"/>
        <n v="4764.03"/>
        <n v="4770.8900000000003"/>
        <n v="4782.21"/>
        <n v="4822.0200000000004"/>
        <n v="4829.8"/>
        <n v="4833.74"/>
        <n v="4852.42"/>
        <n v="4862.74"/>
        <n v="4871.6000000000004"/>
        <n v="4889.37"/>
        <n v="4893.6400000000003"/>
        <n v="4897.46"/>
        <n v="4906.68"/>
        <n v="4918.0200000000004"/>
        <n v="4922.95"/>
        <n v="4945.59"/>
        <n v="4957.66"/>
        <n v="4958.24"/>
        <n v="4962.8100000000004"/>
        <n v="4991.5200000000004"/>
        <n v="5010.99"/>
        <n v="5019.03"/>
        <n v="5035.1099999999997"/>
        <n v="5037.87"/>
        <n v="5049.75"/>
        <n v="5053.41"/>
        <n v="5056.6899999999996"/>
        <n v="5058.24"/>
        <n v="5061.05"/>
        <n v="5069.13"/>
        <n v="5077.8"/>
        <n v="5089.47"/>
        <n v="5095.2"/>
        <n v="5114.05"/>
        <n v="5134.79"/>
        <n v="5146.67"/>
        <n v="5153.91"/>
        <n v="5158.2299999999996"/>
        <n v="5168.8"/>
        <n v="5178.34"/>
        <n v="5184.6000000000004"/>
        <n v="5192.6400000000003"/>
        <n v="5194.8999999999996"/>
        <n v="5210.09"/>
        <n v="5222.4399999999996"/>
        <n v="5232.6499999999996"/>
        <n v="5242.6499999999996"/>
        <n v="5251.38"/>
        <n v="5252.99"/>
        <n v="5263.14"/>
        <n v="5280.72"/>
        <n v="5282.9"/>
        <n v="5302.78"/>
        <n v="5315.95"/>
        <n v="5349.1"/>
        <n v="5357.99"/>
        <n v="5362.65"/>
        <n v="5364.32"/>
        <n v="5365.99"/>
        <n v="5373.94"/>
        <n v="5377.62"/>
        <n v="5388.38"/>
        <n v="5416.49"/>
        <n v="5426.83"/>
        <n v="5431.69"/>
        <n v="5461.26"/>
        <n v="5495.01"/>
        <n v="5509.81"/>
        <n v="5521.91"/>
        <n v="5523.44"/>
        <n v="5529.3"/>
        <n v="5551.25"/>
        <n v="5555.77"/>
        <n v="5557.74"/>
        <n v="5607.18"/>
        <n v="5639.26"/>
        <n v="5649.26"/>
        <n v="5655.04"/>
        <n v="5659.41"/>
        <n v="5685.94"/>
        <n v="5686.21"/>
        <n v="5687.29"/>
        <n v="5707.56"/>
        <n v="5716.19"/>
        <n v="5717.99"/>
        <n v="5723.49"/>
        <n v="5727.32"/>
        <n v="5727.45"/>
        <n v="5727.54"/>
        <n v="5731.93"/>
        <n v="5749.95"/>
        <n v="5792.69"/>
        <n v="5810.11"/>
        <n v="5817.08"/>
        <n v="5824.62"/>
        <n v="5827.8"/>
        <n v="5831.44"/>
        <n v="5832.13"/>
        <n v="5835.87"/>
        <n v="5845.96"/>
        <n v="5848.5"/>
        <n v="5853.33"/>
        <n v="5859.78"/>
        <n v="5883.72"/>
        <n v="5894.13"/>
        <n v="5902.94"/>
        <n v="5917.69"/>
        <n v="5940.84"/>
        <n v="5980.06"/>
        <n v="6005.08"/>
        <n v="6025.7"/>
        <n v="6031.92"/>
        <n v="6048.25"/>
        <n v="6053.34"/>
        <n v="6078.25"/>
        <n v="6078.81"/>
        <n v="6080.42"/>
        <n v="6083.69"/>
        <n v="6090.97"/>
        <n v="6117.71"/>
        <n v="6131.28"/>
        <n v="6132.06"/>
        <n v="6150"/>
        <n v="6151.32"/>
        <n v="6157.57"/>
        <n v="6157.81"/>
        <n v="6165.78"/>
        <n v="6173.09"/>
        <n v="6175.75"/>
        <n v="6178.85"/>
        <n v="6188.81"/>
        <n v="6201.17"/>
        <n v="6206.25"/>
        <n v="6240.22"/>
        <n v="6241.03"/>
        <n v="6255.79"/>
        <n v="6259.36"/>
        <n v="6270.5"/>
        <n v="6280.46"/>
        <n v="6324.34"/>
        <n v="6336.82"/>
        <n v="6354.68"/>
        <n v="6367.45"/>
        <n v="6413.03"/>
        <n v="6423.22"/>
        <n v="6437.98"/>
        <n v="6447.41"/>
        <n v="6449.73"/>
        <n v="6473.6"/>
        <n v="6481.73"/>
        <n v="6483.44"/>
        <n v="6483.82"/>
        <n v="6548.26"/>
        <n v="6553.88"/>
        <n v="6557.44"/>
        <n v="6558.34"/>
        <n v="6571.07"/>
        <n v="6579.56"/>
        <n v="6582.79"/>
        <n v="6585.8"/>
        <n v="6587.19"/>
        <n v="6605.63"/>
        <n v="6609.47"/>
        <n v="6619.12"/>
        <n v="6628.85"/>
        <n v="6630.39"/>
        <n v="6656.14"/>
        <n v="6663.99"/>
        <n v="6670.22"/>
        <n v="6683.85"/>
        <n v="6688.82"/>
        <n v="6714.38"/>
        <n v="6720.15"/>
        <n v="6732.66"/>
        <n v="6738.95"/>
        <n v="6788.52"/>
        <n v="6794.78"/>
        <n v="6796.86"/>
        <n v="6806.72"/>
        <n v="6830.32"/>
        <n v="6849.02"/>
        <n v="6852.02"/>
        <n v="6864.93"/>
        <n v="6871.7"/>
        <n v="6872.34"/>
        <n v="6875.83"/>
        <n v="6886.87"/>
        <n v="6904.08"/>
        <n v="6921.97"/>
        <n v="6928.34"/>
        <n v="6929.2"/>
        <n v="6939.04"/>
        <n v="6939.71"/>
        <n v="6942.85"/>
        <n v="6946.55"/>
        <n v="6952.48"/>
        <n v="6961.4"/>
        <n v="6963.57"/>
        <n v="6978.96"/>
        <n v="7001.57"/>
        <n v="7005.74"/>
        <n v="7018.11"/>
        <n v="7020.52"/>
        <n v="7038.69"/>
        <n v="7076.5"/>
        <n v="7121.02"/>
        <n v="7145.68"/>
        <n v="7164.63"/>
        <n v="7172.8"/>
        <n v="7177.78"/>
        <n v="7183.5"/>
        <n v="7187.88"/>
        <n v="7189.28"/>
        <n v="7193.81"/>
        <n v="7211.63"/>
        <n v="7223"/>
        <n v="7226.97"/>
        <n v="7229.47"/>
        <n v="7231.3"/>
        <n v="7249.51"/>
        <n v="7258.4"/>
        <n v="7258.78"/>
        <n v="7271.54"/>
        <n v="7290.47"/>
        <n v="7318.13"/>
        <n v="7337.26"/>
        <n v="7340.79"/>
        <n v="7343.84"/>
        <n v="7355.53"/>
        <n v="7389.53"/>
        <n v="7400.08"/>
        <n v="7404.28"/>
        <n v="7418.63"/>
        <n v="7425.47"/>
        <n v="7474.9"/>
        <n v="7497.36"/>
        <n v="7499.39"/>
        <n v="7500.89"/>
        <n v="7523.93"/>
        <n v="7526.9"/>
        <n v="7550.64"/>
        <n v="7587.71"/>
        <n v="7594.94"/>
        <n v="7635.19"/>
        <n v="7637.13"/>
        <n v="7642.11"/>
        <n v="7645.96"/>
        <n v="7731.19"/>
        <n v="7731.4"/>
        <n v="7760.36"/>
        <n v="7764.14"/>
        <n v="7764.95"/>
        <n v="7766.41"/>
        <n v="7797.16"/>
        <n v="7799.15"/>
        <n v="7801.76"/>
        <n v="7802.53"/>
        <n v="7810.08"/>
        <n v="7916.77"/>
        <n v="7953.05"/>
        <n v="7964.65"/>
        <n v="7973.18"/>
        <n v="7974.6"/>
        <n v="7976.56"/>
        <n v="7993.63"/>
        <n v="8016.89"/>
        <n v="8019.78"/>
        <n v="8043.07"/>
        <n v="8047.17"/>
        <n v="8068.61"/>
        <n v="8076.92"/>
        <n v="8101.39"/>
        <n v="8114.97"/>
        <n v="8121.7"/>
        <n v="8123.26"/>
        <n v="8132.96"/>
        <n v="8135.58"/>
        <n v="8146.67"/>
        <n v="8148.79"/>
        <n v="8164.85"/>
        <n v="8165.99"/>
        <n v="8206.36"/>
        <n v="8213.2199999999993"/>
        <n v="8222.25"/>
        <n v="8268.84"/>
        <n v="8296.06"/>
        <n v="8299.36"/>
        <n v="8310.4"/>
        <n v="8315.2900000000009"/>
        <n v="8316.06"/>
        <n v="8320"/>
        <n v="8330.26"/>
        <n v="8354.69"/>
        <n v="8354.89"/>
        <n v="8368.15"/>
        <n v="8379.44"/>
        <n v="8381.14"/>
        <n v="8424.66"/>
        <n v="8425.35"/>
        <n v="8428.1200000000008"/>
        <n v="8475.24"/>
        <n v="8491.15"/>
        <n v="8493.92"/>
        <n v="8501.98"/>
        <n v="8527.2000000000007"/>
        <n v="8530.57"/>
        <n v="8595.74"/>
        <n v="8621.2800000000007"/>
        <n v="8623.7099999999991"/>
        <n v="8626.23"/>
        <n v="8630.27"/>
        <n v="8638.68"/>
        <n v="8644.98"/>
        <n v="8655.8799999999992"/>
        <n v="8658.59"/>
        <n v="8659.4599999999991"/>
        <n v="8702.15"/>
        <n v="8718.19"/>
        <n v="8726.7099999999991"/>
        <n v="8745.19"/>
        <n v="8750.99"/>
        <n v="8765.25"/>
        <n v="8783.9"/>
        <n v="8788.44"/>
        <n v="8811.27"/>
        <n v="8828.57"/>
        <n v="8833.5499999999993"/>
        <n v="8850.85"/>
        <n v="8858.73"/>
        <n v="8868.24"/>
        <n v="8875.6299999999992"/>
        <n v="8886.66"/>
        <n v="8900.93"/>
        <n v="8911.7099999999991"/>
        <n v="8912.4500000000007"/>
        <n v="8916.6299999999992"/>
        <n v="8920.14"/>
        <n v="8920.39"/>
        <n v="8921.32"/>
        <n v="8939.67"/>
        <n v="8955.32"/>
        <n v="8995.8700000000008"/>
        <n v="9000.11"/>
        <n v="9004.9599999999991"/>
        <n v="9010.83"/>
        <n v="9027.7800000000007"/>
        <n v="9029.51"/>
        <n v="9037.77"/>
        <n v="9067.1"/>
        <n v="9086.5"/>
        <n v="9089.59"/>
        <n v="9105.43"/>
        <n v="9108.58"/>
        <n v="9129.89"/>
        <n v="9132.07"/>
        <n v="9136.7800000000007"/>
        <n v="9154.58"/>
        <n v="9157.99"/>
        <n v="9158.43"/>
        <n v="9174.01"/>
        <n v="9187.58"/>
        <n v="9195.5300000000007"/>
        <n v="9202.01"/>
        <n v="9207.85"/>
        <n v="9210.82"/>
        <n v="9236.5300000000007"/>
        <n v="9240.2800000000007"/>
        <n v="9244.84"/>
        <n v="9248.4699999999993"/>
        <n v="9277.2199999999993"/>
        <n v="9305.1"/>
        <n v="9314.0499999999993"/>
        <n v="9317.2900000000009"/>
        <n v="9332.74"/>
        <n v="9347.65"/>
        <n v="9371.57"/>
        <n v="9373.5400000000009"/>
        <n v="9392.27"/>
        <n v="9393.6"/>
        <n v="9399.99"/>
        <n v="9408.7800000000007"/>
        <n v="9411.48"/>
        <n v="9412.84"/>
        <n v="9431.51"/>
        <n v="9537.52"/>
        <n v="9538.4699999999993"/>
        <n v="9565.11"/>
        <n v="9567.4599999999991"/>
        <n v="9580.2900000000009"/>
        <n v="9583.77"/>
        <n v="9586.08"/>
        <n v="9593.94"/>
        <n v="9599.94"/>
        <n v="9621.2199999999993"/>
        <n v="9631.99"/>
        <n v="9638.6299999999992"/>
        <n v="9638.7000000000007"/>
        <n v="9659.7800000000007"/>
        <n v="9670.91"/>
        <n v="9671.83"/>
        <n v="9708.81"/>
        <n v="9715.4699999999993"/>
        <n v="9729.25"/>
        <n v="9731.43"/>
        <n v="9737.67"/>
        <n v="9751.09"/>
        <n v="9751.7999999999993"/>
        <n v="9752.76"/>
        <n v="9781.89"/>
        <n v="9798.16"/>
        <n v="9809.0300000000007"/>
        <n v="9835.49"/>
        <n v="9844.52"/>
        <n v="9852.0300000000007"/>
        <n v="9863.94"/>
        <n v="9896.77"/>
        <n v="9926.25"/>
        <n v="9938.91"/>
        <n v="9953.07"/>
        <n v="9963.27"/>
        <n v="9963.31"/>
        <n v="9975.94"/>
        <n v="9999.7099999999991"/>
        <n v="10018.26"/>
        <n v="10045.48"/>
        <n v="10057.799999999999"/>
        <n v="10074.299999999999"/>
        <n v="10077.24"/>
        <n v="10134.36"/>
        <n v="10135.719999999999"/>
        <n v="10148.219999999999"/>
        <n v="10161.18"/>
        <n v="10178.19"/>
        <n v="10189.24"/>
        <n v="10196.719999999999"/>
        <n v="10231.98"/>
        <n v="10247.14"/>
        <n v="10254.620000000001"/>
        <n v="10261.84"/>
        <n v="10293.91"/>
        <n v="10297.49"/>
        <n v="10301.4"/>
        <n v="10302.32"/>
        <n v="10309.15"/>
        <n v="10311.44"/>
        <n v="10316.39"/>
        <n v="10322.76"/>
        <n v="10343.950000000001"/>
        <n v="10344.280000000001"/>
        <n v="10346.9"/>
        <n v="10362.370000000001"/>
        <n v="10368.01"/>
        <n v="10379.18"/>
        <n v="10387.6"/>
        <n v="10399.129999999999"/>
        <n v="10403.76"/>
        <n v="10411.370000000001"/>
        <n v="10422.36"/>
        <n v="10440.93"/>
        <n v="10442.31"/>
        <n v="10482.870000000001"/>
        <n v="10497.97"/>
        <n v="10512.09"/>
        <n v="10517.06"/>
        <n v="10539.11"/>
        <n v="10557.39"/>
        <n v="10561.24"/>
        <n v="10563.04"/>
        <n v="10564.06"/>
        <n v="10564.98"/>
        <n v="10576.7"/>
        <n v="10610.02"/>
        <n v="10617.9"/>
        <n v="10619.52"/>
        <n v="10628.6"/>
        <n v="10639.75"/>
        <n v="10642.25"/>
        <n v="10654.72"/>
        <n v="10655.25"/>
        <n v="10663.89"/>
        <n v="10693.37"/>
        <n v="10699.12"/>
        <n v="10724.99"/>
        <n v="10732.51"/>
        <n v="10751.89"/>
        <n v="10764.07"/>
        <n v="10769.09"/>
        <n v="10773.76"/>
        <n v="10773.9"/>
        <n v="10780.56"/>
        <n v="10796.02"/>
        <n v="10868.32"/>
        <n v="10889.15"/>
        <n v="10910.48"/>
        <n v="10914.97"/>
        <n v="10915.57"/>
        <n v="10917.68"/>
        <n v="10919.1"/>
        <n v="10919.66"/>
        <n v="10923.67"/>
        <n v="10934.37"/>
        <n v="10957.97"/>
        <n v="10960.85"/>
        <n v="10963.09"/>
        <n v="10984.27"/>
        <n v="11002.05"/>
        <n v="11015.88"/>
        <n v="11034.54"/>
        <n v="11050.4"/>
        <n v="11052.26"/>
        <n v="11073.09"/>
        <n v="11075.11"/>
        <n v="11075.61"/>
        <n v="11099.47"/>
        <n v="11116.41"/>
        <n v="11126.55"/>
        <n v="11149.26"/>
        <n v="11156.37"/>
        <n v="11165.47"/>
        <n v="11184.3"/>
        <n v="11194.17"/>
        <n v="11196.4"/>
        <n v="11197.77"/>
        <n v="11217.8"/>
        <n v="11220.81"/>
        <n v="11227.96"/>
        <n v="11259.87"/>
        <n v="11261.27"/>
        <n v="11282.1"/>
        <n v="11294.86"/>
        <n v="11298.95"/>
        <n v="11300.62"/>
        <n v="11307.6"/>
        <n v="11339.25"/>
        <n v="11343.04"/>
        <n v="11351.71"/>
        <n v="11374.85"/>
        <n v="11375.97"/>
        <n v="11383.02"/>
        <n v="11393.81"/>
        <n v="11427.15"/>
        <n v="11431.02"/>
        <n v="11439.79"/>
        <n v="11443.16"/>
        <n v="11445.91"/>
        <n v="11467.61"/>
        <n v="11470.01"/>
        <n v="11477.69"/>
        <n v="11487.76"/>
        <n v="11499.75"/>
        <n v="11508.52"/>
        <n v="11530.92"/>
        <n v="11538.93"/>
        <n v="11540.53"/>
        <n v="11546.6"/>
        <n v="11566.04"/>
        <n v="11589.39"/>
        <n v="11591.7"/>
        <n v="11596.98"/>
        <n v="11600.37"/>
        <n v="11601.14"/>
        <n v="11602.14"/>
        <n v="11602.47"/>
        <n v="11605.27"/>
        <n v="11608.89"/>
        <n v="11639.34"/>
        <n v="11642.39"/>
        <n v="11663.55"/>
        <n v="11670.91"/>
        <n v="11700.11"/>
        <n v="11706.15"/>
        <n v="11710.56"/>
        <n v="11719.9"/>
        <n v="11720.58"/>
        <n v="11728.54"/>
        <n v="11730.61"/>
        <n v="11739.74"/>
        <n v="11749.43"/>
        <n v="11776.03"/>
        <n v="11793.74"/>
        <n v="11796.22"/>
        <n v="11800.92"/>
        <n v="11805.35"/>
        <n v="11816.62"/>
        <n v="11843.41"/>
        <n v="11858.08"/>
        <n v="11866.64"/>
        <n v="11883.91"/>
        <n v="11898.82"/>
        <n v="11906.02"/>
        <n v="11910.55"/>
        <n v="11932.25"/>
        <n v="11945.29"/>
        <n v="11949.03"/>
        <n v="11958.49"/>
        <n v="11963.55"/>
        <n v="11985.58"/>
        <m/>
      </sharedItems>
    </cacheField>
    <cacheField name="clean category" numFmtId="0">
      <sharedItems count="2">
        <s v="Furniture"/>
        <s v="Technology"/>
      </sharedItems>
    </cacheField>
    <cacheField name="Months (Order_Date)" numFmtId="0" databaseField="0">
      <fieldGroup base="1">
        <rangePr groupBy="months" startDate="2025-01-01T00:00:00" endDate="2025-12-31T00:00:00"/>
        <groupItems count="14">
          <s v="&lt;1/1/2025"/>
          <s v="Jan"/>
          <s v="Feb"/>
          <s v="Mar"/>
          <s v="Apr"/>
          <s v="May"/>
          <s v="Jun"/>
          <s v="Jul"/>
          <s v="Aug"/>
          <s v="Sep"/>
          <s v="Oct"/>
          <s v="Nov"/>
          <s v="Dec"/>
          <s v="&gt;12/31/2025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Date="0" createdVersion="3" recordCount="999" xr:uid="{00000000-000A-0000-FFFF-FFFF02000000}">
  <cacheSource type="worksheet">
    <worksheetSource ref="A1:K1000" sheet=" Sales analysis"/>
  </cacheSource>
  <cacheFields count="11">
    <cacheField name="Order_ID" numFmtId="0">
      <sharedItems containsSemiMixedTypes="0" containsString="0" containsNumber="1" containsInteger="1" minValue="10001" maxValue="10999" count="999">
        <n v="10001"/>
        <n v="10002"/>
        <n v="10003"/>
        <n v="10004"/>
        <n v="10005"/>
        <n v="10006"/>
        <n v="10007"/>
        <n v="10008"/>
        <n v="10009"/>
        <n v="10010"/>
        <n v="10011"/>
        <n v="10012"/>
        <n v="10013"/>
        <n v="10014"/>
        <n v="10015"/>
        <n v="10016"/>
        <n v="10017"/>
        <n v="10018"/>
        <n v="10019"/>
        <n v="10020"/>
        <n v="10021"/>
        <n v="10022"/>
        <n v="10023"/>
        <n v="10024"/>
        <n v="10025"/>
        <n v="10026"/>
        <n v="10027"/>
        <n v="10028"/>
        <n v="10029"/>
        <n v="10030"/>
        <n v="10031"/>
        <n v="10032"/>
        <n v="10033"/>
        <n v="10034"/>
        <n v="10035"/>
        <n v="10036"/>
        <n v="10037"/>
        <n v="10038"/>
        <n v="10039"/>
        <n v="10040"/>
        <n v="10041"/>
        <n v="10042"/>
        <n v="10043"/>
        <n v="10044"/>
        <n v="10045"/>
        <n v="10046"/>
        <n v="10047"/>
        <n v="10048"/>
        <n v="10049"/>
        <n v="10050"/>
        <n v="10051"/>
        <n v="10052"/>
        <n v="10053"/>
        <n v="10054"/>
        <n v="10055"/>
        <n v="10056"/>
        <n v="10057"/>
        <n v="10058"/>
        <n v="10059"/>
        <n v="10060"/>
        <n v="10061"/>
        <n v="10062"/>
        <n v="10063"/>
        <n v="10064"/>
        <n v="10065"/>
        <n v="10066"/>
        <n v="10067"/>
        <n v="10068"/>
        <n v="10069"/>
        <n v="10070"/>
        <n v="10071"/>
        <n v="10072"/>
        <n v="10073"/>
        <n v="10074"/>
        <n v="10075"/>
        <n v="10076"/>
        <n v="10077"/>
        <n v="10078"/>
        <n v="10079"/>
        <n v="10080"/>
        <n v="10081"/>
        <n v="10082"/>
        <n v="10083"/>
        <n v="10084"/>
        <n v="10085"/>
        <n v="10086"/>
        <n v="10087"/>
        <n v="10088"/>
        <n v="10089"/>
        <n v="10090"/>
        <n v="10091"/>
        <n v="10092"/>
        <n v="10093"/>
        <n v="10094"/>
        <n v="10095"/>
        <n v="10096"/>
        <n v="10097"/>
        <n v="10098"/>
        <n v="10099"/>
        <n v="10100"/>
        <n v="10101"/>
        <n v="10102"/>
        <n v="10103"/>
        <n v="10104"/>
        <n v="10105"/>
        <n v="10106"/>
        <n v="10107"/>
        <n v="10108"/>
        <n v="10109"/>
        <n v="10110"/>
        <n v="10111"/>
        <n v="10112"/>
        <n v="10113"/>
        <n v="10114"/>
        <n v="10115"/>
        <n v="10116"/>
        <n v="10117"/>
        <n v="10118"/>
        <n v="10119"/>
        <n v="10120"/>
        <n v="10121"/>
        <n v="10122"/>
        <n v="10123"/>
        <n v="10124"/>
        <n v="10125"/>
        <n v="10126"/>
        <n v="10127"/>
        <n v="10128"/>
        <n v="10129"/>
        <n v="10130"/>
        <n v="10131"/>
        <n v="10132"/>
        <n v="10133"/>
        <n v="10134"/>
        <n v="10135"/>
        <n v="10136"/>
        <n v="10137"/>
        <n v="10138"/>
        <n v="10139"/>
        <n v="10140"/>
        <n v="10141"/>
        <n v="10142"/>
        <n v="10143"/>
        <n v="10144"/>
        <n v="10145"/>
        <n v="10146"/>
        <n v="10147"/>
        <n v="10148"/>
        <n v="10149"/>
        <n v="10150"/>
        <n v="10151"/>
        <n v="10152"/>
        <n v="10153"/>
        <n v="10154"/>
        <n v="10155"/>
        <n v="10156"/>
        <n v="10157"/>
        <n v="10158"/>
        <n v="10159"/>
        <n v="10160"/>
        <n v="10161"/>
        <n v="10162"/>
        <n v="10163"/>
        <n v="10164"/>
        <n v="10165"/>
        <n v="10166"/>
        <n v="10167"/>
        <n v="10168"/>
        <n v="10169"/>
        <n v="10170"/>
        <n v="10171"/>
        <n v="10172"/>
        <n v="10173"/>
        <n v="10174"/>
        <n v="10175"/>
        <n v="10176"/>
        <n v="10177"/>
        <n v="10178"/>
        <n v="10179"/>
        <n v="10180"/>
        <n v="10181"/>
        <n v="10182"/>
        <n v="10183"/>
        <n v="10184"/>
        <n v="10185"/>
        <n v="10186"/>
        <n v="10187"/>
        <n v="10188"/>
        <n v="10189"/>
        <n v="10190"/>
        <n v="10191"/>
        <n v="10192"/>
        <n v="10193"/>
        <n v="10194"/>
        <n v="10195"/>
        <n v="10196"/>
        <n v="10197"/>
        <n v="10198"/>
        <n v="10199"/>
        <n v="10200"/>
        <n v="10201"/>
        <n v="10202"/>
        <n v="10203"/>
        <n v="10204"/>
        <n v="10205"/>
        <n v="10206"/>
        <n v="10207"/>
        <n v="10208"/>
        <n v="10209"/>
        <n v="10210"/>
        <n v="10211"/>
        <n v="10212"/>
        <n v="10213"/>
        <n v="10214"/>
        <n v="10215"/>
        <n v="10216"/>
        <n v="10217"/>
        <n v="10218"/>
        <n v="10219"/>
        <n v="10220"/>
        <n v="10221"/>
        <n v="10222"/>
        <n v="10223"/>
        <n v="10224"/>
        <n v="10225"/>
        <n v="10226"/>
        <n v="10227"/>
        <n v="10228"/>
        <n v="10229"/>
        <n v="10230"/>
        <n v="10231"/>
        <n v="10232"/>
        <n v="10233"/>
        <n v="10234"/>
        <n v="10235"/>
        <n v="10236"/>
        <n v="10237"/>
        <n v="10238"/>
        <n v="10239"/>
        <n v="10240"/>
        <n v="10241"/>
        <n v="10242"/>
        <n v="10243"/>
        <n v="10244"/>
        <n v="10245"/>
        <n v="10246"/>
        <n v="10247"/>
        <n v="10248"/>
        <n v="10249"/>
        <n v="10250"/>
        <n v="10251"/>
        <n v="10252"/>
        <n v="10253"/>
        <n v="10254"/>
        <n v="10255"/>
        <n v="10256"/>
        <n v="10257"/>
        <n v="10258"/>
        <n v="10259"/>
        <n v="10260"/>
        <n v="10261"/>
        <n v="10262"/>
        <n v="10263"/>
        <n v="10264"/>
        <n v="10265"/>
        <n v="10266"/>
        <n v="10267"/>
        <n v="10268"/>
        <n v="10269"/>
        <n v="10270"/>
        <n v="10271"/>
        <n v="10272"/>
        <n v="10273"/>
        <n v="10274"/>
        <n v="10275"/>
        <n v="10276"/>
        <n v="10277"/>
        <n v="10278"/>
        <n v="10279"/>
        <n v="10280"/>
        <n v="10281"/>
        <n v="10282"/>
        <n v="10283"/>
        <n v="10284"/>
        <n v="10285"/>
        <n v="10286"/>
        <n v="10287"/>
        <n v="10288"/>
        <n v="10289"/>
        <n v="10290"/>
        <n v="10291"/>
        <n v="10292"/>
        <n v="10293"/>
        <n v="10294"/>
        <n v="10295"/>
        <n v="10296"/>
        <n v="10297"/>
        <n v="10298"/>
        <n v="10299"/>
        <n v="10300"/>
        <n v="10301"/>
        <n v="10302"/>
        <n v="10303"/>
        <n v="10304"/>
        <n v="10305"/>
        <n v="10306"/>
        <n v="10307"/>
        <n v="10308"/>
        <n v="10309"/>
        <n v="10310"/>
        <n v="10311"/>
        <n v="10312"/>
        <n v="10313"/>
        <n v="10314"/>
        <n v="10315"/>
        <n v="10316"/>
        <n v="10317"/>
        <n v="10318"/>
        <n v="10319"/>
        <n v="10320"/>
        <n v="10321"/>
        <n v="10322"/>
        <n v="10323"/>
        <n v="10324"/>
        <n v="10325"/>
        <n v="10326"/>
        <n v="10327"/>
        <n v="10328"/>
        <n v="10329"/>
        <n v="10330"/>
        <n v="10331"/>
        <n v="10332"/>
        <n v="10333"/>
        <n v="10334"/>
        <n v="10335"/>
        <n v="10336"/>
        <n v="10337"/>
        <n v="10338"/>
        <n v="10339"/>
        <n v="10340"/>
        <n v="10341"/>
        <n v="10342"/>
        <n v="10343"/>
        <n v="10344"/>
        <n v="10345"/>
        <n v="10346"/>
        <n v="10347"/>
        <n v="10348"/>
        <n v="10349"/>
        <n v="10350"/>
        <n v="10351"/>
        <n v="10352"/>
        <n v="10353"/>
        <n v="10354"/>
        <n v="10355"/>
        <n v="10356"/>
        <n v="10357"/>
        <n v="10358"/>
        <n v="10359"/>
        <n v="10360"/>
        <n v="10361"/>
        <n v="10362"/>
        <n v="10363"/>
        <n v="10364"/>
        <n v="10365"/>
        <n v="10366"/>
        <n v="10367"/>
        <n v="10368"/>
        <n v="10369"/>
        <n v="10370"/>
        <n v="10371"/>
        <n v="10372"/>
        <n v="10373"/>
        <n v="10374"/>
        <n v="10375"/>
        <n v="10376"/>
        <n v="10377"/>
        <n v="10378"/>
        <n v="10379"/>
        <n v="10380"/>
        <n v="10381"/>
        <n v="10382"/>
        <n v="10383"/>
        <n v="10384"/>
        <n v="10385"/>
        <n v="10386"/>
        <n v="10387"/>
        <n v="10388"/>
        <n v="10389"/>
        <n v="10390"/>
        <n v="10391"/>
        <n v="10392"/>
        <n v="10393"/>
        <n v="10394"/>
        <n v="10395"/>
        <n v="10396"/>
        <n v="10397"/>
        <n v="10398"/>
        <n v="10399"/>
        <n v="10400"/>
        <n v="10401"/>
        <n v="10402"/>
        <n v="10403"/>
        <n v="10404"/>
        <n v="10405"/>
        <n v="10406"/>
        <n v="10407"/>
        <n v="10408"/>
        <n v="10409"/>
        <n v="10410"/>
        <n v="10411"/>
        <n v="10412"/>
        <n v="10413"/>
        <n v="10414"/>
        <n v="10415"/>
        <n v="10416"/>
        <n v="10417"/>
        <n v="10418"/>
        <n v="10419"/>
        <n v="10420"/>
        <n v="10421"/>
        <n v="10422"/>
        <n v="10423"/>
        <n v="10424"/>
        <n v="10425"/>
        <n v="10426"/>
        <n v="10427"/>
        <n v="10428"/>
        <n v="10429"/>
        <n v="10430"/>
        <n v="10431"/>
        <n v="10432"/>
        <n v="10433"/>
        <n v="10434"/>
        <n v="10435"/>
        <n v="10436"/>
        <n v="10437"/>
        <n v="10438"/>
        <n v="10439"/>
        <n v="10440"/>
        <n v="10441"/>
        <n v="10442"/>
        <n v="10443"/>
        <n v="10444"/>
        <n v="10445"/>
        <n v="10446"/>
        <n v="10447"/>
        <n v="10448"/>
        <n v="10449"/>
        <n v="10450"/>
        <n v="10451"/>
        <n v="10452"/>
        <n v="10453"/>
        <n v="10454"/>
        <n v="10455"/>
        <n v="10456"/>
        <n v="10457"/>
        <n v="10458"/>
        <n v="10459"/>
        <n v="10460"/>
        <n v="10461"/>
        <n v="10462"/>
        <n v="10463"/>
        <n v="10464"/>
        <n v="10465"/>
        <n v="10466"/>
        <n v="10467"/>
        <n v="10468"/>
        <n v="10469"/>
        <n v="10470"/>
        <n v="10471"/>
        <n v="10472"/>
        <n v="10473"/>
        <n v="10474"/>
        <n v="10475"/>
        <n v="10476"/>
        <n v="10477"/>
        <n v="10478"/>
        <n v="10479"/>
        <n v="10480"/>
        <n v="10481"/>
        <n v="10482"/>
        <n v="10483"/>
        <n v="10484"/>
        <n v="10485"/>
        <n v="10486"/>
        <n v="10487"/>
        <n v="10488"/>
        <n v="10489"/>
        <n v="10490"/>
        <n v="10491"/>
        <n v="10492"/>
        <n v="10493"/>
        <n v="10494"/>
        <n v="10495"/>
        <n v="10496"/>
        <n v="10497"/>
        <n v="10498"/>
        <n v="10499"/>
        <n v="10500"/>
        <n v="10501"/>
        <n v="10502"/>
        <n v="10503"/>
        <n v="10504"/>
        <n v="10505"/>
        <n v="10506"/>
        <n v="10507"/>
        <n v="10508"/>
        <n v="10509"/>
        <n v="10510"/>
        <n v="10511"/>
        <n v="10512"/>
        <n v="10513"/>
        <n v="10514"/>
        <n v="10515"/>
        <n v="10516"/>
        <n v="10517"/>
        <n v="10518"/>
        <n v="10519"/>
        <n v="10520"/>
        <n v="10521"/>
        <n v="10522"/>
        <n v="10523"/>
        <n v="10524"/>
        <n v="10525"/>
        <n v="10526"/>
        <n v="10527"/>
        <n v="10528"/>
        <n v="10529"/>
        <n v="10530"/>
        <n v="10531"/>
        <n v="10532"/>
        <n v="10533"/>
        <n v="10534"/>
        <n v="10535"/>
        <n v="10536"/>
        <n v="10537"/>
        <n v="10538"/>
        <n v="10539"/>
        <n v="10540"/>
        <n v="10541"/>
        <n v="10542"/>
        <n v="10543"/>
        <n v="10544"/>
        <n v="10545"/>
        <n v="10546"/>
        <n v="10547"/>
        <n v="10548"/>
        <n v="10549"/>
        <n v="10550"/>
        <n v="10551"/>
        <n v="10552"/>
        <n v="10553"/>
        <n v="10554"/>
        <n v="10555"/>
        <n v="10556"/>
        <n v="10557"/>
        <n v="10558"/>
        <n v="10559"/>
        <n v="10560"/>
        <n v="10561"/>
        <n v="10562"/>
        <n v="10563"/>
        <n v="10564"/>
        <n v="10565"/>
        <n v="10566"/>
        <n v="10567"/>
        <n v="10568"/>
        <n v="10569"/>
        <n v="10570"/>
        <n v="10571"/>
        <n v="10572"/>
        <n v="10573"/>
        <n v="10574"/>
        <n v="10575"/>
        <n v="10576"/>
        <n v="10577"/>
        <n v="10578"/>
        <n v="10579"/>
        <n v="10580"/>
        <n v="10581"/>
        <n v="10582"/>
        <n v="10583"/>
        <n v="10584"/>
        <n v="10585"/>
        <n v="10586"/>
        <n v="10587"/>
        <n v="10588"/>
        <n v="10589"/>
        <n v="10590"/>
        <n v="10591"/>
        <n v="10592"/>
        <n v="10593"/>
        <n v="10594"/>
        <n v="10595"/>
        <n v="10596"/>
        <n v="10597"/>
        <n v="10598"/>
        <n v="10599"/>
        <n v="10600"/>
        <n v="10601"/>
        <n v="10602"/>
        <n v="10603"/>
        <n v="10604"/>
        <n v="10605"/>
        <n v="10606"/>
        <n v="10607"/>
        <n v="10608"/>
        <n v="10609"/>
        <n v="10610"/>
        <n v="10611"/>
        <n v="10612"/>
        <n v="10613"/>
        <n v="10614"/>
        <n v="10615"/>
        <n v="10616"/>
        <n v="10617"/>
        <n v="10618"/>
        <n v="10619"/>
        <n v="10620"/>
        <n v="10621"/>
        <n v="10622"/>
        <n v="10623"/>
        <n v="10624"/>
        <n v="10625"/>
        <n v="10626"/>
        <n v="10627"/>
        <n v="10628"/>
        <n v="10629"/>
        <n v="10630"/>
        <n v="10631"/>
        <n v="10632"/>
        <n v="10633"/>
        <n v="10634"/>
        <n v="10635"/>
        <n v="10636"/>
        <n v="10637"/>
        <n v="10638"/>
        <n v="10639"/>
        <n v="10640"/>
        <n v="10641"/>
        <n v="10642"/>
        <n v="10643"/>
        <n v="10644"/>
        <n v="10645"/>
        <n v="10646"/>
        <n v="10647"/>
        <n v="10648"/>
        <n v="10649"/>
        <n v="10650"/>
        <n v="10651"/>
        <n v="10652"/>
        <n v="10653"/>
        <n v="10654"/>
        <n v="10655"/>
        <n v="10656"/>
        <n v="10657"/>
        <n v="10658"/>
        <n v="10659"/>
        <n v="10660"/>
        <n v="10661"/>
        <n v="10662"/>
        <n v="10663"/>
        <n v="10664"/>
        <n v="10665"/>
        <n v="10666"/>
        <n v="10667"/>
        <n v="10668"/>
        <n v="10669"/>
        <n v="10670"/>
        <n v="10671"/>
        <n v="10672"/>
        <n v="10673"/>
        <n v="10674"/>
        <n v="10675"/>
        <n v="10676"/>
        <n v="10677"/>
        <n v="10678"/>
        <n v="10679"/>
        <n v="10680"/>
        <n v="10681"/>
        <n v="10682"/>
        <n v="10683"/>
        <n v="10684"/>
        <n v="10685"/>
        <n v="10686"/>
        <n v="10687"/>
        <n v="10688"/>
        <n v="10689"/>
        <n v="10690"/>
        <n v="10691"/>
        <n v="10692"/>
        <n v="10693"/>
        <n v="10694"/>
        <n v="10695"/>
        <n v="10696"/>
        <n v="10697"/>
        <n v="10698"/>
        <n v="10699"/>
        <n v="10700"/>
        <n v="10701"/>
        <n v="10702"/>
        <n v="10703"/>
        <n v="10704"/>
        <n v="10705"/>
        <n v="10706"/>
        <n v="10707"/>
        <n v="10708"/>
        <n v="10709"/>
        <n v="10710"/>
        <n v="10711"/>
        <n v="10712"/>
        <n v="10713"/>
        <n v="10714"/>
        <n v="10715"/>
        <n v="10716"/>
        <n v="10717"/>
        <n v="10718"/>
        <n v="10719"/>
        <n v="10720"/>
        <n v="10721"/>
        <n v="10722"/>
        <n v="10723"/>
        <n v="10724"/>
        <n v="10725"/>
        <n v="10726"/>
        <n v="10727"/>
        <n v="10728"/>
        <n v="10729"/>
        <n v="10730"/>
        <n v="10731"/>
        <n v="10732"/>
        <n v="10733"/>
        <n v="10734"/>
        <n v="10735"/>
        <n v="10736"/>
        <n v="10737"/>
        <n v="10738"/>
        <n v="10739"/>
        <n v="10740"/>
        <n v="10741"/>
        <n v="10742"/>
        <n v="10743"/>
        <n v="10744"/>
        <n v="10745"/>
        <n v="10746"/>
        <n v="10747"/>
        <n v="10748"/>
        <n v="10749"/>
        <n v="10750"/>
        <n v="10751"/>
        <n v="10752"/>
        <n v="10753"/>
        <n v="10754"/>
        <n v="10755"/>
        <n v="10756"/>
        <n v="10757"/>
        <n v="10758"/>
        <n v="10759"/>
        <n v="10760"/>
        <n v="10761"/>
        <n v="10762"/>
        <n v="10763"/>
        <n v="10764"/>
        <n v="10765"/>
        <n v="10766"/>
        <n v="10767"/>
        <n v="10768"/>
        <n v="10769"/>
        <n v="10770"/>
        <n v="10771"/>
        <n v="10772"/>
        <n v="10773"/>
        <n v="10774"/>
        <n v="10775"/>
        <n v="10776"/>
        <n v="10777"/>
        <n v="10778"/>
        <n v="10779"/>
        <n v="10780"/>
        <n v="10781"/>
        <n v="10782"/>
        <n v="10783"/>
        <n v="10784"/>
        <n v="10785"/>
        <n v="10786"/>
        <n v="10787"/>
        <n v="10788"/>
        <n v="10789"/>
        <n v="10790"/>
        <n v="10791"/>
        <n v="10792"/>
        <n v="10793"/>
        <n v="10794"/>
        <n v="10795"/>
        <n v="10796"/>
        <n v="10797"/>
        <n v="10798"/>
        <n v="10799"/>
        <n v="10800"/>
        <n v="10801"/>
        <n v="10802"/>
        <n v="10803"/>
        <n v="10804"/>
        <n v="10805"/>
        <n v="10806"/>
        <n v="10807"/>
        <n v="10808"/>
        <n v="10809"/>
        <n v="10810"/>
        <n v="10811"/>
        <n v="10812"/>
        <n v="10813"/>
        <n v="10814"/>
        <n v="10815"/>
        <n v="10816"/>
        <n v="10817"/>
        <n v="10818"/>
        <n v="10819"/>
        <n v="10820"/>
        <n v="10821"/>
        <n v="10822"/>
        <n v="10823"/>
        <n v="10824"/>
        <n v="10825"/>
        <n v="10826"/>
        <n v="10827"/>
        <n v="10828"/>
        <n v="10829"/>
        <n v="10830"/>
        <n v="10831"/>
        <n v="10832"/>
        <n v="10833"/>
        <n v="10834"/>
        <n v="10835"/>
        <n v="10836"/>
        <n v="10837"/>
        <n v="10838"/>
        <n v="10839"/>
        <n v="10840"/>
        <n v="10841"/>
        <n v="10842"/>
        <n v="10843"/>
        <n v="10844"/>
        <n v="10845"/>
        <n v="10846"/>
        <n v="10847"/>
        <n v="10848"/>
        <n v="10849"/>
        <n v="10850"/>
        <n v="10851"/>
        <n v="10852"/>
        <n v="10853"/>
        <n v="10854"/>
        <n v="10855"/>
        <n v="10856"/>
        <n v="10857"/>
        <n v="10858"/>
        <n v="10859"/>
        <n v="10860"/>
        <n v="10861"/>
        <n v="10862"/>
        <n v="10863"/>
        <n v="10864"/>
        <n v="10865"/>
        <n v="10866"/>
        <n v="10867"/>
        <n v="10868"/>
        <n v="10869"/>
        <n v="10870"/>
        <n v="10871"/>
        <n v="10872"/>
        <n v="10873"/>
        <n v="10874"/>
        <n v="10875"/>
        <n v="10876"/>
        <n v="10877"/>
        <n v="10878"/>
        <n v="10879"/>
        <n v="10880"/>
        <n v="10881"/>
        <n v="10882"/>
        <n v="10883"/>
        <n v="10884"/>
        <n v="10885"/>
        <n v="10886"/>
        <n v="10887"/>
        <n v="10888"/>
        <n v="10889"/>
        <n v="10890"/>
        <n v="10891"/>
        <n v="10892"/>
        <n v="10893"/>
        <n v="10894"/>
        <n v="10895"/>
        <n v="10896"/>
        <n v="10897"/>
        <n v="10898"/>
        <n v="10899"/>
        <n v="10900"/>
        <n v="10901"/>
        <n v="10902"/>
        <n v="10903"/>
        <n v="10904"/>
        <n v="10905"/>
        <n v="10906"/>
        <n v="10907"/>
        <n v="10908"/>
        <n v="10909"/>
        <n v="10910"/>
        <n v="10911"/>
        <n v="10912"/>
        <n v="10913"/>
        <n v="10914"/>
        <n v="10915"/>
        <n v="10916"/>
        <n v="10917"/>
        <n v="10918"/>
        <n v="10919"/>
        <n v="10920"/>
        <n v="10921"/>
        <n v="10922"/>
        <n v="10923"/>
        <n v="10924"/>
        <n v="10925"/>
        <n v="10926"/>
        <n v="10927"/>
        <n v="10928"/>
        <n v="10929"/>
        <n v="10930"/>
        <n v="10931"/>
        <n v="10932"/>
        <n v="10933"/>
        <n v="10934"/>
        <n v="10935"/>
        <n v="10936"/>
        <n v="10937"/>
        <n v="10938"/>
        <n v="10939"/>
        <n v="10940"/>
        <n v="10941"/>
        <n v="10942"/>
        <n v="10943"/>
        <n v="10944"/>
        <n v="10945"/>
        <n v="10946"/>
        <n v="10947"/>
        <n v="10948"/>
        <n v="10949"/>
        <n v="10950"/>
        <n v="10951"/>
        <n v="10952"/>
        <n v="10953"/>
        <n v="10954"/>
        <n v="10955"/>
        <n v="10956"/>
        <n v="10957"/>
        <n v="10958"/>
        <n v="10959"/>
        <n v="10960"/>
        <n v="10961"/>
        <n v="10962"/>
        <n v="10963"/>
        <n v="10964"/>
        <n v="10965"/>
        <n v="10966"/>
        <n v="10967"/>
        <n v="10968"/>
        <n v="10969"/>
        <n v="10970"/>
        <n v="10971"/>
        <n v="10972"/>
        <n v="10973"/>
        <n v="10974"/>
        <n v="10975"/>
        <n v="10976"/>
        <n v="10977"/>
        <n v="10978"/>
        <n v="10979"/>
        <n v="10980"/>
        <n v="10981"/>
        <n v="10982"/>
        <n v="10983"/>
        <n v="10984"/>
        <n v="10985"/>
        <n v="10986"/>
        <n v="10987"/>
        <n v="10988"/>
        <n v="10989"/>
        <n v="10990"/>
        <n v="10991"/>
        <n v="10992"/>
        <n v="10993"/>
        <n v="10994"/>
        <n v="10995"/>
        <n v="10996"/>
        <n v="10997"/>
        <n v="10998"/>
        <n v="10999"/>
      </sharedItems>
    </cacheField>
    <cacheField name="Order_Date" numFmtId="0">
      <sharedItems containsSemiMixedTypes="0" containsNonDate="0" containsDate="1" containsString="0" minDate="2025-01-01T00:00:00" maxDate="2025-12-31T00:00:00" count="340">
        <d v="2025-01-01T00:00:00"/>
        <d v="2025-01-02T00:00:00"/>
        <d v="2025-01-03T00:00:00"/>
        <d v="2025-01-04T00:00:00"/>
        <d v="2025-01-05T00:00:00"/>
        <d v="2025-01-06T00:00:00"/>
        <d v="2025-01-07T00:00:00"/>
        <d v="2025-01-08T00:00:00"/>
        <d v="2025-01-09T00:00:00"/>
        <d v="2025-01-10T00:00:00"/>
        <d v="2025-01-11T00:00:00"/>
        <d v="2025-01-12T00:00:00"/>
        <d v="2025-01-13T00:00:00"/>
        <d v="2025-01-14T00:00:00"/>
        <d v="2025-01-15T00:00:00"/>
        <d v="2025-01-16T00:00:00"/>
        <d v="2025-01-17T00:00:00"/>
        <d v="2025-01-18T00:00:00"/>
        <d v="2025-01-19T00:00:00"/>
        <d v="2025-01-20T00:00:00"/>
        <d v="2025-01-22T00:00:00"/>
        <d v="2025-01-23T00:00:00"/>
        <d v="2025-01-25T00:00:00"/>
        <d v="2025-01-26T00:00:00"/>
        <d v="2025-01-27T00:00:00"/>
        <d v="2025-01-28T00:00:00"/>
        <d v="2025-01-29T00:00:00"/>
        <d v="2025-01-30T00:00:00"/>
        <d v="2025-01-31T00:00:00"/>
        <d v="2025-02-01T00:00:00"/>
        <d v="2025-02-03T00:00:00"/>
        <d v="2025-02-04T00:00:00"/>
        <d v="2025-02-05T00:00:00"/>
        <d v="2025-02-06T00:00:00"/>
        <d v="2025-02-07T00:00:00"/>
        <d v="2025-02-08T00:00:00"/>
        <d v="2025-02-09T00:00:00"/>
        <d v="2025-02-10T00:00:00"/>
        <d v="2025-02-11T00:00:00"/>
        <d v="2025-02-12T00:00:00"/>
        <d v="2025-02-13T00:00:00"/>
        <d v="2025-02-14T00:00:00"/>
        <d v="2025-02-15T00:00:00"/>
        <d v="2025-02-16T00:00:00"/>
        <d v="2025-02-17T00:00:00"/>
        <d v="2025-02-18T00:00:00"/>
        <d v="2025-02-20T00:00:00"/>
        <d v="2025-02-21T00:00:00"/>
        <d v="2025-02-22T00:00:00"/>
        <d v="2025-02-23T00:00:00"/>
        <d v="2025-02-24T00:00:00"/>
        <d v="2025-02-25T00:00:00"/>
        <d v="2025-02-26T00:00:00"/>
        <d v="2025-02-28T00:00:00"/>
        <d v="2025-03-01T00:00:00"/>
        <d v="2025-03-02T00:00:00"/>
        <d v="2025-03-03T00:00:00"/>
        <d v="2025-03-04T00:00:00"/>
        <d v="2025-03-05T00:00:00"/>
        <d v="2025-03-06T00:00:00"/>
        <d v="2025-03-07T00:00:00"/>
        <d v="2025-03-08T00:00:00"/>
        <d v="2025-03-09T00:00:00"/>
        <d v="2025-03-10T00:00:00"/>
        <d v="2025-03-11T00:00:00"/>
        <d v="2025-03-13T00:00:00"/>
        <d v="2025-03-14T00:00:00"/>
        <d v="2025-03-15T00:00:00"/>
        <d v="2025-03-16T00:00:00"/>
        <d v="2025-03-17T00:00:00"/>
        <d v="2025-03-18T00:00:00"/>
        <d v="2025-03-19T00:00:00"/>
        <d v="2025-03-21T00:00:00"/>
        <d v="2025-03-22T00:00:00"/>
        <d v="2025-03-23T00:00:00"/>
        <d v="2025-03-24T00:00:00"/>
        <d v="2025-03-25T00:00:00"/>
        <d v="2025-03-26T00:00:00"/>
        <d v="2025-03-27T00:00:00"/>
        <d v="2025-03-28T00:00:00"/>
        <d v="2025-03-29T00:00:00"/>
        <d v="2025-03-30T00:00:00"/>
        <d v="2025-03-31T00:00:00"/>
        <d v="2025-04-02T00:00:00"/>
        <d v="2025-04-03T00:00:00"/>
        <d v="2025-04-04T00:00:00"/>
        <d v="2025-04-05T00:00:00"/>
        <d v="2025-04-06T00:00:00"/>
        <d v="2025-04-07T00:00:00"/>
        <d v="2025-04-08T00:00:00"/>
        <d v="2025-04-09T00:00:00"/>
        <d v="2025-04-11T00:00:00"/>
        <d v="2025-04-12T00:00:00"/>
        <d v="2025-04-13T00:00:00"/>
        <d v="2025-04-14T00:00:00"/>
        <d v="2025-04-15T00:00:00"/>
        <d v="2025-04-16T00:00:00"/>
        <d v="2025-04-17T00:00:00"/>
        <d v="2025-04-18T00:00:00"/>
        <d v="2025-04-19T00:00:00"/>
        <d v="2025-04-20T00:00:00"/>
        <d v="2025-04-21T00:00:00"/>
        <d v="2025-04-22T00:00:00"/>
        <d v="2025-04-23T00:00:00"/>
        <d v="2025-04-24T00:00:00"/>
        <d v="2025-04-25T00:00:00"/>
        <d v="2025-04-27T00:00:00"/>
        <d v="2025-04-28T00:00:00"/>
        <d v="2025-04-29T00:00:00"/>
        <d v="2025-04-30T00:00:00"/>
        <d v="2025-05-01T00:00:00"/>
        <d v="2025-05-02T00:00:00"/>
        <d v="2025-05-03T00:00:00"/>
        <d v="2025-05-04T00:00:00"/>
        <d v="2025-05-05T00:00:00"/>
        <d v="2025-05-06T00:00:00"/>
        <d v="2025-05-07T00:00:00"/>
        <d v="2025-05-08T00:00:00"/>
        <d v="2025-05-09T00:00:00"/>
        <d v="2025-05-10T00:00:00"/>
        <d v="2025-05-11T00:00:00"/>
        <d v="2025-05-12T00:00:00"/>
        <d v="2025-05-13T00:00:00"/>
        <d v="2025-05-14T00:00:00"/>
        <d v="2025-05-16T00:00:00"/>
        <d v="2025-05-17T00:00:00"/>
        <d v="2025-05-18T00:00:00"/>
        <d v="2025-05-19T00:00:00"/>
        <d v="2025-05-20T00:00:00"/>
        <d v="2025-05-21T00:00:00"/>
        <d v="2025-05-22T00:00:00"/>
        <d v="2025-05-23T00:00:00"/>
        <d v="2025-05-24T00:00:00"/>
        <d v="2025-05-25T00:00:00"/>
        <d v="2025-05-26T00:00:00"/>
        <d v="2025-05-27T00:00:00"/>
        <d v="2025-05-28T00:00:00"/>
        <d v="2025-05-29T00:00:00"/>
        <d v="2025-05-30T00:00:00"/>
        <d v="2025-05-31T00:00:00"/>
        <d v="2025-06-01T00:00:00"/>
        <d v="2025-06-02T00:00:00"/>
        <d v="2025-06-03T00:00:00"/>
        <d v="2025-06-04T00:00:00"/>
        <d v="2025-06-05T00:00:00"/>
        <d v="2025-06-06T00:00:00"/>
        <d v="2025-06-07T00:00:00"/>
        <d v="2025-06-08T00:00:00"/>
        <d v="2025-06-09T00:00:00"/>
        <d v="2025-06-10T00:00:00"/>
        <d v="2025-06-11T00:00:00"/>
        <d v="2025-06-12T00:00:00"/>
        <d v="2025-06-13T00:00:00"/>
        <d v="2025-06-14T00:00:00"/>
        <d v="2025-06-15T00:00:00"/>
        <d v="2025-06-17T00:00:00"/>
        <d v="2025-06-18T00:00:00"/>
        <d v="2025-06-19T00:00:00"/>
        <d v="2025-06-20T00:00:00"/>
        <d v="2025-06-21T00:00:00"/>
        <d v="2025-06-22T00:00:00"/>
        <d v="2025-06-24T00:00:00"/>
        <d v="2025-06-25T00:00:00"/>
        <d v="2025-06-26T00:00:00"/>
        <d v="2025-06-27T00:00:00"/>
        <d v="2025-06-28T00:00:00"/>
        <d v="2025-06-29T00:00:00"/>
        <d v="2025-06-30T00:00:00"/>
        <d v="2025-07-01T00:00:00"/>
        <d v="2025-07-02T00:00:00"/>
        <d v="2025-07-03T00:00:00"/>
        <d v="2025-07-04T00:00:00"/>
        <d v="2025-07-05T00:00:00"/>
        <d v="2025-07-06T00:00:00"/>
        <d v="2025-07-07T00:00:00"/>
        <d v="2025-07-08T00:00:00"/>
        <d v="2025-07-09T00:00:00"/>
        <d v="2025-07-10T00:00:00"/>
        <d v="2025-07-11T00:00:00"/>
        <d v="2025-07-12T00:00:00"/>
        <d v="2025-07-13T00:00:00"/>
        <d v="2025-07-14T00:00:00"/>
        <d v="2025-07-15T00:00:00"/>
        <d v="2025-07-16T00:00:00"/>
        <d v="2025-07-17T00:00:00"/>
        <d v="2025-07-18T00:00:00"/>
        <d v="2025-07-19T00:00:00"/>
        <d v="2025-07-20T00:00:00"/>
        <d v="2025-07-21T00:00:00"/>
        <d v="2025-07-22T00:00:00"/>
        <d v="2025-07-24T00:00:00"/>
        <d v="2025-07-25T00:00:00"/>
        <d v="2025-07-26T00:00:00"/>
        <d v="2025-07-28T00:00:00"/>
        <d v="2025-07-29T00:00:00"/>
        <d v="2025-07-30T00:00:00"/>
        <d v="2025-07-31T00:00:00"/>
        <d v="2025-08-01T00:00:00"/>
        <d v="2025-08-02T00:00:00"/>
        <d v="2025-08-03T00:00:00"/>
        <d v="2025-08-04T00:00:00"/>
        <d v="2025-08-05T00:00:00"/>
        <d v="2025-08-06T00:00:00"/>
        <d v="2025-08-07T00:00:00"/>
        <d v="2025-08-08T00:00:00"/>
        <d v="2025-08-10T00:00:00"/>
        <d v="2025-08-11T00:00:00"/>
        <d v="2025-08-12T00:00:00"/>
        <d v="2025-08-13T00:00:00"/>
        <d v="2025-08-14T00:00:00"/>
        <d v="2025-08-15T00:00:00"/>
        <d v="2025-08-16T00:00:00"/>
        <d v="2025-08-17T00:00:00"/>
        <d v="2025-08-19T00:00:00"/>
        <d v="2025-08-20T00:00:00"/>
        <d v="2025-08-21T00:00:00"/>
        <d v="2025-08-22T00:00:00"/>
        <d v="2025-08-23T00:00:00"/>
        <d v="2025-08-24T00:00:00"/>
        <d v="2025-08-25T00:00:00"/>
        <d v="2025-08-26T00:00:00"/>
        <d v="2025-08-27T00:00:00"/>
        <d v="2025-08-28T00:00:00"/>
        <d v="2025-08-29T00:00:00"/>
        <d v="2025-08-30T00:00:00"/>
        <d v="2025-08-31T00:00:00"/>
        <d v="2025-09-01T00:00:00"/>
        <d v="2025-09-02T00:00:00"/>
        <d v="2025-09-03T00:00:00"/>
        <d v="2025-09-04T00:00:00"/>
        <d v="2025-09-06T00:00:00"/>
        <d v="2025-09-07T00:00:00"/>
        <d v="2025-09-08T00:00:00"/>
        <d v="2025-09-09T00:00:00"/>
        <d v="2025-09-10T00:00:00"/>
        <d v="2025-09-11T00:00:00"/>
        <d v="2025-09-12T00:00:00"/>
        <d v="2025-09-13T00:00:00"/>
        <d v="2025-09-14T00:00:00"/>
        <d v="2025-09-15T00:00:00"/>
        <d v="2025-09-16T00:00:00"/>
        <d v="2025-09-17T00:00:00"/>
        <d v="2025-09-18T00:00:00"/>
        <d v="2025-09-19T00:00:00"/>
        <d v="2025-09-20T00:00:00"/>
        <d v="2025-09-21T00:00:00"/>
        <d v="2025-09-22T00:00:00"/>
        <d v="2025-09-23T00:00:00"/>
        <d v="2025-09-24T00:00:00"/>
        <d v="2025-09-25T00:00:00"/>
        <d v="2025-09-26T00:00:00"/>
        <d v="2025-09-27T00:00:00"/>
        <d v="2025-09-29T00:00:00"/>
        <d v="2025-09-30T00:00:00"/>
        <d v="2025-10-01T00:00:00"/>
        <d v="2025-10-02T00:00:00"/>
        <d v="2025-10-04T00:00:00"/>
        <d v="2025-10-05T00:00:00"/>
        <d v="2025-10-07T00:00:00"/>
        <d v="2025-10-08T00:00:00"/>
        <d v="2025-10-09T00:00:00"/>
        <d v="2025-10-10T00:00:00"/>
        <d v="2025-10-11T00:00:00"/>
        <d v="2025-10-12T00:00:00"/>
        <d v="2025-10-13T00:00:00"/>
        <d v="2025-10-14T00:00:00"/>
        <d v="2025-10-15T00:00:00"/>
        <d v="2025-10-16T00:00:00"/>
        <d v="2025-10-18T00:00:00"/>
        <d v="2025-10-19T00:00:00"/>
        <d v="2025-10-20T00:00:00"/>
        <d v="2025-10-21T00:00:00"/>
        <d v="2025-10-22T00:00:00"/>
        <d v="2025-10-23T00:00:00"/>
        <d v="2025-10-24T00:00:00"/>
        <d v="2025-10-26T00:00:00"/>
        <d v="2025-10-27T00:00:00"/>
        <d v="2025-10-28T00:00:00"/>
        <d v="2025-10-29T00:00:00"/>
        <d v="2025-10-30T00:00:00"/>
        <d v="2025-10-31T00:00:00"/>
        <d v="2025-11-01T00:00:00"/>
        <d v="2025-11-02T00:00:00"/>
        <d v="2025-11-03T00:00:00"/>
        <d v="2025-11-04T00:00:00"/>
        <d v="2025-11-05T00:00:00"/>
        <d v="2025-11-06T00:00:00"/>
        <d v="2025-11-07T00:00:00"/>
        <d v="2025-11-08T00:00:00"/>
        <d v="2025-11-09T00:00:00"/>
        <d v="2025-11-10T00:00:00"/>
        <d v="2025-11-11T00:00:00"/>
        <d v="2025-11-12T00:00:00"/>
        <d v="2025-11-13T00:00:00"/>
        <d v="2025-11-14T00:00:00"/>
        <d v="2025-11-15T00:00:00"/>
        <d v="2025-11-16T00:00:00"/>
        <d v="2025-11-17T00:00:00"/>
        <d v="2025-11-18T00:00:00"/>
        <d v="2025-11-19T00:00:00"/>
        <d v="2025-11-20T00:00:00"/>
        <d v="2025-11-22T00:00:00"/>
        <d v="2025-11-23T00:00:00"/>
        <d v="2025-11-24T00:00:00"/>
        <d v="2025-11-25T00:00:00"/>
        <d v="2025-11-26T00:00:00"/>
        <d v="2025-11-27T00:00:00"/>
        <d v="2025-11-28T00:00:00"/>
        <d v="2025-11-29T00:00:00"/>
        <d v="2025-11-30T00:00:00"/>
        <d v="2025-12-01T00:00:00"/>
        <d v="2025-12-02T00:00:00"/>
        <d v="2025-12-03T00:00:00"/>
        <d v="2025-12-04T00:00:00"/>
        <d v="2025-12-05T00:00:00"/>
        <d v="2025-12-06T00:00:00"/>
        <d v="2025-12-07T00:00:00"/>
        <d v="2025-12-08T00:00:00"/>
        <d v="2025-12-10T00:00:00"/>
        <d v="2025-12-11T00:00:00"/>
        <d v="2025-12-12T00:00:00"/>
        <d v="2025-12-13T00:00:00"/>
        <d v="2025-12-14T00:00:00"/>
        <d v="2025-12-15T00:00:00"/>
        <d v="2025-12-16T00:00:00"/>
        <d v="2025-12-17T00:00:00"/>
        <d v="2025-12-18T00:00:00"/>
        <d v="2025-12-19T00:00:00"/>
        <d v="2025-12-20T00:00:00"/>
        <d v="2025-12-21T00:00:00"/>
        <d v="2025-12-22T00:00:00"/>
        <d v="2025-12-23T00:00:00"/>
        <d v="2025-12-24T00:00:00"/>
        <d v="2025-12-25T00:00:00"/>
        <d v="2025-12-26T00:00:00"/>
        <d v="2025-12-27T00:00:00"/>
        <d v="2025-12-28T00:00:00"/>
        <d v="2025-12-29T00:00:00"/>
        <d v="2025-12-30T00:00:00"/>
        <d v="2025-12-31T00:00:00"/>
      </sharedItems>
    </cacheField>
    <cacheField name="Customer" numFmtId="0">
      <sharedItems count="9">
        <s v="Aarav"/>
        <s v="Ananya"/>
        <s v="Neha"/>
        <s v="Priya"/>
        <s v="Rahul"/>
        <s v="Rohan"/>
        <s v="Sneha"/>
        <s v="Unknown"/>
        <s v="Vikram"/>
      </sharedItems>
    </cacheField>
    <cacheField name="Product" numFmtId="0">
      <sharedItems count="8">
        <s v="Chair"/>
        <s v="Desk"/>
        <s v="Headphones"/>
        <s v="Keyboard"/>
        <s v="Laptop"/>
        <s v="Monitor"/>
        <s v="Mouse"/>
        <s v="Printer"/>
      </sharedItems>
    </cacheField>
    <cacheField name="Category" numFmtId="0">
      <sharedItems count="2">
        <s v="Furniture"/>
        <s v="Technology"/>
      </sharedItems>
    </cacheField>
    <cacheField name="Region" numFmtId="0">
      <sharedItems count="4">
        <s v="East"/>
        <s v="North"/>
        <s v="South"/>
        <s v="West"/>
      </sharedItems>
    </cacheField>
    <cacheField name="Quantity" numFmtId="0">
      <sharedItems containsString="0" containsBlank="1" containsNumber="1" containsInteger="1" minValue="1" maxValue="7" count="8">
        <n v="1"/>
        <n v="2"/>
        <n v="3"/>
        <n v="4"/>
        <n v="5"/>
        <n v="6"/>
        <n v="7"/>
        <m/>
      </sharedItems>
    </cacheField>
    <cacheField name="Sales" numFmtId="0">
      <sharedItems containsString="0" containsBlank="1" containsNumber="1" minValue="500.87" maxValue="74967.05" count="998">
        <n v="500.87"/>
        <n v="548.67999999999995"/>
        <n v="609.79999999999995"/>
        <n v="648.41"/>
        <n v="895.85"/>
        <n v="1012.41"/>
        <n v="1084.2"/>
        <n v="1119.8399999999999"/>
        <n v="1123.0899999999999"/>
        <n v="1173.3699999999999"/>
        <n v="1174.54"/>
        <n v="1243.42"/>
        <n v="1266.19"/>
        <n v="1350.64"/>
        <n v="1401.68"/>
        <n v="1405.68"/>
        <n v="1524.04"/>
        <n v="1571.42"/>
        <n v="1625.75"/>
        <n v="1646.92"/>
        <n v="1850.24"/>
        <n v="1925.11"/>
        <n v="1926.29"/>
        <n v="1927.08"/>
        <n v="2132.54"/>
        <n v="2170.73"/>
        <n v="2360.39"/>
        <n v="2376.91"/>
        <n v="2673.15"/>
        <n v="2736.94"/>
        <n v="2742.74"/>
        <n v="2769.54"/>
        <n v="2820.61"/>
        <n v="2864.91"/>
        <n v="3008.89"/>
        <n v="3100.91"/>
        <n v="3183.4"/>
        <n v="3299.05"/>
        <n v="3400.28"/>
        <n v="3400.88"/>
        <n v="3403.96"/>
        <n v="3484.4"/>
        <n v="3506.14"/>
        <n v="3660.46"/>
        <n v="3770.55"/>
        <n v="3845.89"/>
        <n v="4196.2700000000004"/>
        <n v="4223.4399999999996"/>
        <n v="4243.1000000000004"/>
        <n v="4349.32"/>
        <n v="4361.7700000000004"/>
        <n v="4373.21"/>
        <n v="4474.43"/>
        <n v="4642.6099999999997"/>
        <n v="4685.12"/>
        <n v="4715.63"/>
        <n v="4744.92"/>
        <n v="4801.05"/>
        <n v="5104.7299999999996"/>
        <n v="5148.3599999999997"/>
        <n v="5158.21"/>
        <n v="5161.08"/>
        <n v="5268.47"/>
        <n v="5429.31"/>
        <n v="5451.52"/>
        <n v="5459.07"/>
        <n v="5489.53"/>
        <n v="5492.73"/>
        <n v="5510.57"/>
        <n v="5528.94"/>
        <n v="5592.31"/>
        <n v="5600.17"/>
        <n v="5619.17"/>
        <n v="5641.07"/>
        <n v="5643.92"/>
        <n v="5751.65"/>
        <n v="5792.1"/>
        <n v="5801.29"/>
        <n v="5944.58"/>
        <n v="6020.85"/>
        <n v="6130.98"/>
        <n v="6139.63"/>
        <n v="6179.82"/>
        <n v="6234.39"/>
        <n v="6234.97"/>
        <n v="6344.96"/>
        <n v="6380.99"/>
        <n v="6545.61"/>
        <n v="6629.29"/>
        <n v="6663.89"/>
        <n v="6724.8"/>
        <n v="6800.12"/>
        <n v="6840.21"/>
        <n v="6982.78"/>
        <n v="7084.68"/>
        <n v="7308.67"/>
        <n v="7358.99"/>
        <n v="7380.86"/>
        <n v="7400.6"/>
        <n v="7486.35"/>
        <n v="7571.39"/>
        <n v="7607.25"/>
        <n v="8022.87"/>
        <n v="8052.28"/>
        <n v="8084.37"/>
        <n v="8091.04"/>
        <n v="8137.44"/>
        <n v="8141.31"/>
        <n v="8348.24"/>
        <n v="8351.7900000000009"/>
        <n v="8389.98"/>
        <n v="8727.17"/>
        <n v="8813.68"/>
        <n v="8941.11"/>
        <n v="9096.9"/>
        <n v="9231.69"/>
        <n v="9257.57"/>
        <n v="9328.4500000000007"/>
        <n v="9848.73"/>
        <n v="9887.15"/>
        <n v="10026.08"/>
        <n v="10161.08"/>
        <n v="10191.01"/>
        <n v="10312.77"/>
        <n v="10503.48"/>
        <n v="10717.56"/>
        <n v="10954.18"/>
        <n v="11021.15"/>
        <n v="11141.73"/>
        <n v="11153.58"/>
        <n v="11233.87"/>
        <n v="11445.68"/>
        <n v="11472.03"/>
        <n v="11474.08"/>
        <n v="11710.18"/>
        <n v="11793.83"/>
        <n v="11827.62"/>
        <n v="11949.98"/>
        <n v="12009.67"/>
        <n v="12034.73"/>
        <n v="12041.94"/>
        <n v="12137.39"/>
        <n v="12157.52"/>
        <n v="12216.85"/>
        <n v="12382.17"/>
        <n v="12447.22"/>
        <n v="12454.46"/>
        <n v="12470.63"/>
        <n v="12521.53"/>
        <n v="12544.52"/>
        <n v="12621.13"/>
        <n v="12627.93"/>
        <n v="12646.13"/>
        <n v="12813.69"/>
        <n v="12848.24"/>
        <n v="12848.36"/>
        <n v="12965.44"/>
        <n v="12968.1"/>
        <n v="12978.09"/>
        <n v="13144.77"/>
        <n v="13156.13"/>
        <n v="13217.77"/>
        <n v="13291.2"/>
        <n v="13425.46"/>
        <n v="13546.67"/>
        <n v="13554.02"/>
        <n v="13574.13"/>
        <n v="13854.37"/>
        <n v="13854.54"/>
        <n v="13862.02"/>
        <n v="13862.67"/>
        <n v="14030.24"/>
        <n v="14121.41"/>
        <n v="14166.44"/>
        <n v="14255.12"/>
        <n v="14302.64"/>
        <n v="14330.68"/>
        <n v="14337.11"/>
        <n v="14367.12"/>
        <n v="14485.32"/>
        <n v="14500.07"/>
        <n v="14546.28"/>
        <n v="14663.02"/>
        <n v="14700.43"/>
        <n v="14724.03"/>
        <n v="14773.67"/>
        <n v="14942.8"/>
        <n v="15025.65"/>
        <n v="15039.91"/>
        <n v="15045.42"/>
        <n v="15133.23"/>
        <n v="15150.69"/>
        <n v="15170.96"/>
        <n v="15324.91"/>
        <n v="15345.64"/>
        <n v="15421.01"/>
        <n v="15567.94"/>
        <n v="15596.13"/>
        <n v="15658.72"/>
        <n v="15721.57"/>
        <n v="15731.4"/>
        <n v="15748.67"/>
        <n v="15797.3"/>
        <n v="15865.78"/>
        <n v="15927.15"/>
        <n v="15961.8"/>
        <n v="16084.32"/>
        <n v="16182.77"/>
        <n v="16204.09"/>
        <n v="16236.77"/>
        <n v="16266.87"/>
        <n v="16327.32"/>
        <n v="16473.28"/>
        <n v="16510.990000000002"/>
        <n v="16716.22"/>
        <n v="16756.46"/>
        <n v="16793.88"/>
        <n v="16794.310000000001"/>
        <n v="16856.77"/>
        <n v="16898.29"/>
        <n v="16927.57"/>
        <n v="16953.53"/>
        <n v="17044.650000000001"/>
        <n v="17065.919999999998"/>
        <n v="17209.86"/>
        <n v="17346.34"/>
        <n v="17536.419999999998"/>
        <n v="17551.22"/>
        <n v="17587.75"/>
        <n v="17605.060000000001"/>
        <n v="17622.09"/>
        <n v="17666.04"/>
        <n v="17785.349999999999"/>
        <n v="17821.7"/>
        <n v="17948.150000000001"/>
        <n v="17964.71"/>
        <n v="18005.52"/>
        <n v="18151.53"/>
        <n v="18192.150000000001"/>
        <n v="18241.93"/>
        <n v="18409.72"/>
        <n v="18491.490000000002"/>
        <n v="18491.8"/>
        <n v="18494.490000000002"/>
        <n v="18521.05"/>
        <n v="18527.3"/>
        <n v="18530.64"/>
        <n v="18633.05"/>
        <n v="18778.75"/>
        <n v="18876.07"/>
        <n v="18926.849999999999"/>
        <n v="18943.2"/>
        <n v="19004.03"/>
        <n v="19004.580000000002"/>
        <n v="19051.150000000001"/>
        <n v="19100.34"/>
        <n v="19121.79"/>
        <n v="19159.86"/>
        <n v="19191.53"/>
        <n v="19199.599999999999"/>
        <n v="19356.060000000001"/>
        <n v="19368.79"/>
        <n v="19606.5"/>
        <n v="19774.02"/>
        <n v="19835.86"/>
        <n v="19838.45"/>
        <n v="19887.63"/>
        <n v="19948.12"/>
        <n v="20111.93"/>
        <n v="20172.62"/>
        <n v="20188.580000000002"/>
        <n v="20215.310000000001"/>
        <n v="20266.8"/>
        <n v="20279.48"/>
        <n v="20421.45"/>
        <n v="20505.759999999998"/>
        <n v="20507.88"/>
        <n v="20529.59"/>
        <n v="20578.63"/>
        <n v="20675.07"/>
        <n v="20685.23"/>
        <n v="20696.669999999998"/>
        <n v="20736.669999999998"/>
        <n v="20759.98"/>
        <n v="20886.21"/>
        <n v="20918.330000000002"/>
        <n v="20965.43"/>
        <n v="21008.97"/>
        <n v="21085.77"/>
        <n v="21137.43"/>
        <n v="21171.119999999999"/>
        <n v="21200.03"/>
        <n v="21238.45"/>
        <n v="21258.91"/>
        <n v="21438.21"/>
        <n v="21480.400000000001"/>
        <n v="21544.2"/>
        <n v="21544.67"/>
        <n v="21545.96"/>
        <n v="21785.21"/>
        <n v="21789"/>
        <n v="21845.71"/>
        <n v="21915.89"/>
        <n v="21928.639999999999"/>
        <n v="22021.93"/>
        <n v="22044.46"/>
        <n v="22108.39"/>
        <n v="22213.84"/>
        <n v="22282.54"/>
        <n v="22593.71"/>
        <n v="22648.16"/>
        <n v="22804.06"/>
        <n v="22927.93"/>
        <n v="23030.25"/>
        <n v="23068.35"/>
        <n v="23143.72"/>
        <n v="23162.799999999999"/>
        <n v="23331.53"/>
        <n v="23354.86"/>
        <n v="23430.79"/>
        <n v="23579.200000000001"/>
        <n v="23580.61"/>
        <n v="23735.02"/>
        <n v="23801.96"/>
        <n v="23811.599999999999"/>
        <n v="23880.1"/>
        <n v="23883.72"/>
        <n v="23883.919999999998"/>
        <n v="24157.45"/>
        <n v="24426.58"/>
        <n v="24464.41"/>
        <n v="24565.54"/>
        <n v="24676.13"/>
        <n v="24734.15"/>
        <n v="24734.49"/>
        <n v="24805.919999999998"/>
        <n v="24834.62"/>
        <n v="24842.32"/>
        <n v="24953.37"/>
        <n v="25201.57"/>
        <n v="25248.23"/>
        <n v="25267.98"/>
        <n v="25355.32"/>
        <n v="25386.720000000001"/>
        <n v="25478.29"/>
        <n v="25502.98"/>
        <n v="25621.89"/>
        <n v="25827.9"/>
        <n v="25860.66"/>
        <n v="25971.94"/>
        <n v="25987.02"/>
        <n v="26027.06"/>
        <n v="26082.31"/>
        <n v="26208.74"/>
        <n v="26227.98"/>
        <n v="26316.05"/>
        <n v="26613.78"/>
        <n v="26665.84"/>
        <n v="26795.41"/>
        <n v="26802.25"/>
        <n v="26857.29"/>
        <n v="26893.21"/>
        <n v="26904.66"/>
        <n v="26941.89"/>
        <n v="26971.32"/>
        <n v="27088.01"/>
        <n v="27098.69"/>
        <n v="27105.53"/>
        <n v="27214.1"/>
        <n v="27351.8"/>
        <n v="27424.58"/>
        <n v="27870.61"/>
        <n v="27941.87"/>
        <n v="27949.439999999999"/>
        <n v="28011.42"/>
        <n v="28033.279999999999"/>
        <n v="28135.11"/>
        <n v="28147.91"/>
        <n v="28174.31"/>
        <n v="28193.439999999999"/>
        <n v="28226.91"/>
        <n v="28251.919999999998"/>
        <n v="28253.73"/>
        <n v="28297.64"/>
        <n v="28357.119999999999"/>
        <n v="28403.84"/>
        <n v="28472.44"/>
        <n v="28791.49"/>
        <n v="28848.57"/>
        <n v="29018.51"/>
        <n v="29134.45"/>
        <n v="29227.02"/>
        <n v="29355.53"/>
        <n v="29393.040000000001"/>
        <n v="29497.67"/>
        <n v="29510.67"/>
        <n v="29631.95"/>
        <n v="29693.52"/>
        <n v="29710.97"/>
        <n v="29738.13"/>
        <n v="29758.44"/>
        <n v="29793.040000000001"/>
        <n v="30043.25"/>
        <n v="30122.12"/>
        <n v="30138.83"/>
        <n v="30140.99"/>
        <n v="30228.13"/>
        <n v="30440.6"/>
        <n v="30479.27"/>
        <n v="30568.27"/>
        <n v="30637.29"/>
        <n v="30806.959999999999"/>
        <n v="30907.3"/>
        <n v="31001.200000000001"/>
        <n v="31020.49"/>
        <n v="31133.77"/>
        <n v="31134.21"/>
        <n v="31190.880000000001"/>
        <n v="31475.25"/>
        <n v="31534.15"/>
        <n v="31665.87"/>
        <n v="31686.240000000002"/>
        <n v="31735.74"/>
        <n v="31748.880000000001"/>
        <n v="31985.88"/>
        <n v="31993.279999999999"/>
        <n v="32038.47"/>
        <n v="32151.39"/>
        <n v="32179.5"/>
        <n v="32356.3"/>
        <n v="32438.3"/>
        <n v="32456.35"/>
        <n v="32531.84"/>
        <n v="32533.9"/>
        <n v="32685.41"/>
        <n v="32709.79"/>
        <n v="32741.13"/>
        <n v="32744.79"/>
        <n v="32793.68"/>
        <n v="32801.919999999998"/>
        <n v="32834.559999999998"/>
        <n v="32863.050000000003"/>
        <n v="33027.760000000002"/>
        <n v="33056.19"/>
        <n v="33105.769999999997"/>
        <n v="33144.31"/>
        <n v="33221.19"/>
        <n v="33260.67"/>
        <n v="33450.89"/>
        <n v="33469.64"/>
        <n v="33488.46"/>
        <n v="33572"/>
        <n v="33692.85"/>
        <n v="33780.230000000003"/>
        <n v="33851.67"/>
        <n v="33953.39"/>
        <n v="34043.94"/>
        <n v="34121.410000000003"/>
        <n v="34322.25"/>
        <n v="34348.730000000003"/>
        <n v="34379.94"/>
        <n v="34410.31"/>
        <n v="34645.11"/>
        <n v="34653.14"/>
        <n v="34691.07"/>
        <n v="34739.01"/>
        <n v="34745.03"/>
        <n v="34897.85"/>
        <n v="35085.769999999997"/>
        <n v="35143.21"/>
        <n v="35239.31"/>
        <n v="35240.080000000002"/>
        <n v="35371.14"/>
        <n v="35448.49"/>
        <n v="35586.54"/>
        <n v="35807.129999999997"/>
        <n v="35832"/>
        <n v="35987.01"/>
        <n v="36029.06"/>
        <n v="36326.32"/>
        <n v="36486.46"/>
        <n v="36496.97"/>
        <n v="36557.21"/>
        <n v="36598.080000000002"/>
        <n v="36639.550000000003"/>
        <n v="36716.720000000001"/>
        <n v="36801.269999999997"/>
        <n v="36843.660000000003"/>
        <n v="36892.92"/>
        <n v="36959.74"/>
        <n v="36977.019999999997"/>
        <n v="37086.629999999997"/>
        <n v="37196.400000000001"/>
        <n v="37471.279999999999"/>
        <n v="37566.720000000001"/>
        <n v="37667.730000000003"/>
        <n v="37758.400000000001"/>
        <n v="37776.78"/>
        <n v="37794.97"/>
        <n v="37845.040000000001"/>
        <n v="37863.089999999997"/>
        <n v="37946.03"/>
        <n v="37983.370000000003"/>
        <n v="38107.269999999997"/>
        <n v="38160.400000000001"/>
        <n v="38169.74"/>
        <n v="38193.86"/>
        <n v="38265.57"/>
        <n v="38275.94"/>
        <n v="38412.35"/>
        <n v="38484.120000000003"/>
        <n v="38538.269999999997"/>
        <n v="38782.160000000003"/>
        <n v="38862.53"/>
        <n v="38867.919999999998"/>
        <n v="38994.03"/>
        <n v="39091.599999999999"/>
        <n v="39143.22"/>
        <n v="39182.230000000003"/>
        <n v="39347.949999999997"/>
        <n v="39348.74"/>
        <n v="39427.01"/>
        <n v="39592.81"/>
        <n v="39811.97"/>
        <n v="39959.65"/>
        <n v="40171.550000000003"/>
        <n v="40398.76"/>
        <n v="40406.42"/>
        <n v="40427.160000000003"/>
        <n v="40582.69"/>
        <n v="40605.730000000003"/>
        <n v="40662.54"/>
        <n v="40797.42"/>
        <n v="40861.19"/>
        <n v="41046.92"/>
        <n v="41065.019999999997"/>
        <n v="41209.06"/>
        <n v="41220"/>
        <n v="41357.230000000003"/>
        <n v="41389.97"/>
        <n v="41561.42"/>
        <n v="41673.339999999997"/>
        <n v="41676.68"/>
        <n v="41726.15"/>
        <n v="41980.480000000003"/>
        <n v="41987.44"/>
        <n v="42021.62"/>
        <n v="42149.919999999998"/>
        <n v="42270.53"/>
        <n v="42374.42"/>
        <n v="42472.95"/>
        <n v="42473.919999999998"/>
        <n v="42523.519999999997"/>
        <n v="42598.86"/>
        <n v="42650.73"/>
        <n v="42680.46"/>
        <n v="42795.69"/>
        <n v="42930.71"/>
        <n v="43030.37"/>
        <n v="43058.91"/>
        <n v="43095.08"/>
        <n v="43159.24"/>
        <n v="43284.42"/>
        <n v="43464.33"/>
        <n v="43495.63"/>
        <n v="43552.89"/>
        <n v="43621.1"/>
        <n v="43658.93"/>
        <n v="43716.62"/>
        <n v="43762.080000000002"/>
        <n v="43780.800000000003"/>
        <n v="43830.86"/>
        <n v="43927.99"/>
        <n v="43947.71"/>
        <n v="43986.66"/>
        <n v="43991.07"/>
        <n v="44041.440000000002"/>
        <n v="44226.77"/>
        <n v="44275.15"/>
        <n v="44414.32"/>
        <n v="44502.52"/>
        <n v="44539.21"/>
        <n v="44666.59"/>
        <n v="44690.29"/>
        <n v="44720.29"/>
        <n v="44843.360000000001"/>
        <n v="44850.09"/>
        <n v="44965.46"/>
        <n v="44969.85"/>
        <n v="44988.07"/>
        <n v="45026.29"/>
        <n v="45128.82"/>
        <n v="45148.01"/>
        <n v="45315.76"/>
        <n v="45470.97"/>
        <n v="45620.02"/>
        <n v="45701.51"/>
        <n v="45710.1"/>
        <n v="45777.57"/>
        <n v="45819.8"/>
        <n v="45922.46"/>
        <n v="45945.55"/>
        <n v="45985.73"/>
        <n v="46054.04"/>
        <n v="46190.23"/>
        <n v="46327.12"/>
        <n v="46414.39"/>
        <n v="46450.38"/>
        <n v="46654.7"/>
        <n v="46725.3"/>
        <n v="46786.29"/>
        <n v="46864.57"/>
        <n v="46885.97"/>
        <n v="46890.37"/>
        <n v="46961.83"/>
        <n v="46968.86"/>
        <n v="46987.89"/>
        <n v="47033.75"/>
        <n v="47053.120000000003"/>
        <n v="47236.01"/>
        <n v="47317.77"/>
        <n v="47453.42"/>
        <n v="47503.67"/>
        <n v="47540.71"/>
        <n v="47605.02"/>
        <n v="47613.15"/>
        <n v="47760.09"/>
        <n v="47877.55"/>
        <n v="47909.88"/>
        <n v="48007.77"/>
        <n v="48225.83"/>
        <n v="48309.21"/>
        <n v="48533.52"/>
        <n v="48799.69"/>
        <n v="48813.61"/>
        <n v="48823.6"/>
        <n v="48874.51"/>
        <n v="48888.42"/>
        <n v="49232.89"/>
        <n v="49248.480000000003"/>
        <n v="49271.48"/>
        <n v="49310.44"/>
        <n v="49419.01"/>
        <n v="49426.35"/>
        <n v="49428.33"/>
        <n v="49598.879999999997"/>
        <n v="49633.55"/>
        <n v="49745.56"/>
        <n v="49794.21"/>
        <n v="49795.48"/>
        <n v="49812.57"/>
        <n v="49816.69"/>
        <n v="49851.33"/>
        <n v="49897.02"/>
        <n v="49932.51"/>
        <n v="49984.34"/>
        <n v="50151.5"/>
        <n v="50161.74"/>
        <n v="50180.13"/>
        <n v="50207.32"/>
        <n v="50248.160000000003"/>
        <n v="50256.160000000003"/>
        <n v="50501.23"/>
        <n v="50525.2"/>
        <n v="50598.31"/>
        <n v="50616.37"/>
        <n v="50620.959999999999"/>
        <n v="50628.94"/>
        <n v="50686.58"/>
        <n v="50712.57"/>
        <n v="50714.48"/>
        <n v="50771.58"/>
        <n v="50863.96"/>
        <n v="50932.09"/>
        <n v="50965.79"/>
        <n v="50976.11"/>
        <n v="51048.25"/>
        <n v="51131.71"/>
        <n v="51168.34"/>
        <n v="51542.51"/>
        <n v="51565.57"/>
        <n v="51803.06"/>
        <n v="51970.86"/>
        <n v="51983.66"/>
        <n v="52059.49"/>
        <n v="52080.74"/>
        <n v="52174.55"/>
        <n v="52199.24"/>
        <n v="52247.360000000001"/>
        <n v="52250.75"/>
        <n v="52363.63"/>
        <n v="52384.02"/>
        <n v="52436.62"/>
        <n v="52442.1"/>
        <n v="52571.69"/>
        <n v="52623.15"/>
        <n v="52734.9"/>
        <n v="52737.15"/>
        <n v="52809.88"/>
        <n v="52925.63"/>
        <n v="52989.3"/>
        <n v="53012.89"/>
        <n v="53032.87"/>
        <n v="53056.83"/>
        <n v="53115.34"/>
        <n v="53143.93"/>
        <n v="53201.08"/>
        <n v="53303.040000000001"/>
        <n v="53344.4"/>
        <n v="53523.35"/>
        <n v="53590.29"/>
        <n v="53696.93"/>
        <n v="53717.33"/>
        <n v="53724.6"/>
        <n v="53774.96"/>
        <n v="53845.72"/>
        <n v="53871.58"/>
        <n v="54015.67"/>
        <n v="54024.82"/>
        <n v="54046.1"/>
        <n v="54343.96"/>
        <n v="54396.55"/>
        <n v="54396.86"/>
        <n v="54482.57"/>
        <n v="54512.95"/>
        <n v="54665.73"/>
        <n v="54800.18"/>
        <n v="54809.09"/>
        <n v="54836.19"/>
        <n v="55063.88"/>
        <n v="55086.080000000002"/>
        <n v="55088.639999999999"/>
        <n v="55216.07"/>
        <n v="55371.87"/>
        <n v="55438.239999999998"/>
        <n v="55472.43"/>
        <n v="55474.85"/>
        <n v="55534.87"/>
        <n v="55560.49"/>
        <n v="55752.29"/>
        <n v="55771.28"/>
        <n v="55797.86"/>
        <n v="55844.67"/>
        <n v="56239.7"/>
        <n v="56252.51"/>
        <n v="56254.63"/>
        <n v="56373.35"/>
        <n v="56394.8"/>
        <n v="56432.34"/>
        <n v="56445.01"/>
        <n v="56462.7"/>
        <n v="56505.15"/>
        <n v="56663.17"/>
        <n v="56691.5"/>
        <n v="56692.74"/>
        <n v="56876.4"/>
        <n v="56900.08"/>
        <n v="56919.61"/>
        <n v="57024.29"/>
        <n v="57028.83"/>
        <n v="57045.89"/>
        <n v="57067.29"/>
        <n v="57162.89"/>
        <n v="57183.42"/>
        <n v="57195.09"/>
        <n v="57291.55"/>
        <n v="57302.3"/>
        <n v="57444.33"/>
        <n v="57450.83"/>
        <n v="57533.23"/>
        <n v="57605.37"/>
        <n v="57823.94"/>
        <n v="57948.65"/>
        <n v="57986.2"/>
        <n v="58071.47"/>
        <n v="58074.31"/>
        <n v="58255.68"/>
        <n v="58390.17"/>
        <n v="58462.879999999997"/>
        <n v="58543.14"/>
        <n v="58637.23"/>
        <n v="58657.06"/>
        <n v="58756.02"/>
        <n v="58888.5"/>
        <n v="58890.11"/>
        <n v="59072.32"/>
        <n v="59160.33"/>
        <n v="59172.41"/>
        <n v="59302.32"/>
        <n v="59471.09"/>
        <n v="59548.31"/>
        <n v="59548.34"/>
        <n v="59560.480000000003"/>
        <n v="59589.14"/>
        <n v="59796.52"/>
        <n v="59819.99"/>
        <n v="59852.76"/>
        <n v="59931.05"/>
        <n v="59972.84"/>
        <n v="60100.26"/>
        <n v="60207.71"/>
        <n v="60296.7"/>
        <n v="60309.41"/>
        <n v="60323.65"/>
        <n v="60363.56"/>
        <n v="60383.46"/>
        <n v="60384.18"/>
        <n v="60428.85"/>
        <n v="60434.85"/>
        <n v="60479.23"/>
        <n v="60596.55"/>
        <n v="60598.67"/>
        <n v="60618.93"/>
        <n v="60626.78"/>
        <n v="60772.26"/>
        <n v="60910.45"/>
        <n v="61152.36"/>
        <n v="61213.01"/>
        <n v="61350.07"/>
        <n v="61364.56"/>
        <n v="61376.05"/>
        <n v="61396.88"/>
        <n v="61693.43"/>
        <n v="61726.41"/>
        <n v="61767.4"/>
        <n v="61812.29"/>
        <n v="61943.37"/>
        <n v="61993.47"/>
        <n v="62015.47"/>
        <n v="62100.959999999999"/>
        <n v="62149.22"/>
        <n v="62152.7"/>
        <n v="62227.39"/>
        <n v="62545.86"/>
        <n v="62675.6"/>
        <n v="62769.03"/>
        <n v="62790.77"/>
        <n v="62865.41"/>
        <n v="62883.85"/>
        <n v="62924.17"/>
        <n v="62942.55"/>
        <n v="62948.17"/>
        <n v="62967.64"/>
        <n v="63005.3"/>
        <n v="63018.94"/>
        <n v="63065.22"/>
        <n v="63088.05"/>
        <n v="63327.8"/>
        <n v="63351.9"/>
        <n v="63442.92"/>
        <n v="63461.5"/>
        <n v="63630.400000000001"/>
        <n v="63679.14"/>
        <n v="63684.14"/>
        <n v="63707.69"/>
        <n v="64014.78"/>
        <n v="64106.98"/>
        <n v="64195.56"/>
        <n v="64199.75"/>
        <n v="64312.02"/>
        <n v="64422.73"/>
        <n v="64477.94"/>
        <n v="64481.85"/>
        <n v="64554.7"/>
        <n v="64695.97"/>
        <n v="64734.12"/>
        <n v="64766.720000000001"/>
        <n v="64793.26"/>
        <n v="64900.28"/>
        <n v="64917.09"/>
        <n v="64964.53"/>
        <n v="65024.12"/>
        <n v="65074.39"/>
        <n v="65354.26"/>
        <n v="65364.84"/>
        <n v="65420.35"/>
        <n v="65618.350000000006"/>
        <n v="65753.289999999994"/>
        <n v="65785.8"/>
        <n v="65862.61"/>
        <n v="65871.520000000004"/>
        <n v="65999.34"/>
        <n v="66132.490000000005"/>
        <n v="66185.95"/>
        <n v="66250.710000000006"/>
        <n v="66277.149999999994"/>
        <n v="66283.039999999994"/>
        <n v="66401.72"/>
        <n v="66421.710000000006"/>
        <n v="66513.960000000006"/>
        <n v="66664.81"/>
        <n v="66740.03"/>
        <n v="66769.19"/>
        <n v="66835.509999999995"/>
        <n v="66868.740000000005"/>
        <n v="66995.59"/>
        <n v="67110.03"/>
        <n v="67203.28"/>
        <n v="67219.429999999993"/>
        <n v="67227.77"/>
        <n v="67353.759999999995"/>
        <n v="67394.98"/>
        <n v="67621.59"/>
        <n v="67682.17"/>
        <n v="67694.539999999994"/>
        <n v="67874.8"/>
        <n v="68003.490000000005"/>
        <n v="68133.97"/>
        <n v="68138.460000000006"/>
        <n v="68163.02"/>
        <n v="68178.37"/>
        <n v="68233.56"/>
        <n v="68340.13"/>
        <n v="68577.240000000005"/>
        <n v="68633.88"/>
        <n v="68908.81"/>
        <n v="68922.77"/>
        <n v="69005.06"/>
        <n v="69095.100000000006"/>
        <n v="69097.11"/>
        <n v="69114.09"/>
        <n v="69137.41"/>
        <n v="69501.460000000006"/>
        <n v="69569.740000000005"/>
        <n v="69570.720000000001"/>
        <n v="69649.570000000007"/>
        <n v="69682.98"/>
        <n v="69720.89"/>
        <n v="69721.279999999999"/>
        <n v="69986.929999999993"/>
        <n v="70002.899999999994"/>
        <n v="70023.78"/>
        <n v="70193.600000000006"/>
        <n v="70252.91"/>
        <n v="70378.41"/>
        <n v="70460.600000000006"/>
        <n v="70588.45"/>
        <n v="70613.5"/>
        <n v="70656.05"/>
        <n v="70805.77"/>
        <n v="70861.42"/>
        <n v="70882.850000000006"/>
        <n v="71011.009999999995"/>
        <n v="71031.66"/>
        <n v="71058.25"/>
        <n v="71063.53"/>
        <n v="71309.210000000006"/>
        <n v="71344.179999999993"/>
        <n v="71381.03"/>
        <n v="71381.52"/>
        <n v="71382.64"/>
        <n v="71386.06"/>
        <n v="71440.52"/>
        <n v="71484.72"/>
        <n v="71839.789999999994"/>
        <n v="71866.09"/>
        <n v="72009.78"/>
        <n v="72030.100000000006"/>
        <n v="72066.710000000006"/>
        <n v="72088.55"/>
        <n v="72131.179999999993"/>
        <n v="72270.34"/>
        <n v="72393.649999999994"/>
        <n v="72529.990000000005"/>
        <n v="72544.13"/>
        <n v="72598.23"/>
        <n v="72620.899999999994"/>
        <n v="72621.69"/>
        <n v="72656.03"/>
        <n v="72759.53"/>
        <n v="72784.149999999994"/>
        <n v="72815.399999999994"/>
        <n v="72994.22"/>
        <n v="72994.320000000007"/>
        <n v="73017.009999999995"/>
        <n v="73163.06"/>
        <n v="73287.02"/>
        <n v="73309.440000000002"/>
        <n v="73400.149999999994"/>
        <n v="73537.47"/>
        <n v="73593.279999999999"/>
        <n v="73595.210000000006"/>
        <n v="73597.75"/>
        <n v="73598.84"/>
        <n v="73871.95"/>
        <n v="74214.11"/>
        <n v="74263.11"/>
        <n v="74305.600000000006"/>
        <n v="74497.5"/>
        <n v="74614.039999999994"/>
        <n v="74674.52"/>
        <n v="74713.75"/>
        <n v="74790.09"/>
        <n v="74794.22"/>
        <n v="74823.31"/>
        <n v="74917.5"/>
        <n v="74967.05"/>
        <m/>
      </sharedItems>
    </cacheField>
    <cacheField name="Discount" numFmtId="0">
      <sharedItems containsString="0" containsBlank="1" containsNumber="1" minValue="0" maxValue="0.25" count="7">
        <n v="0"/>
        <n v="0.05"/>
        <n v="0.1"/>
        <n v="0.15"/>
        <n v="0.2"/>
        <n v="0.25"/>
        <m/>
      </sharedItems>
    </cacheField>
    <cacheField name="Profit" numFmtId="0">
      <sharedItems containsString="0" containsBlank="1" containsNumber="1" minValue="-500" maxValue="11985.58" count="998">
        <n v="-500"/>
        <n v="52.71"/>
        <n v="57.15"/>
        <n v="61.27"/>
        <n v="122.26"/>
        <n v="123.9"/>
        <n v="127.25"/>
        <n v="133.44"/>
        <n v="137.87"/>
        <n v="158.59"/>
        <n v="168.43"/>
        <n v="175.63"/>
        <n v="178.05"/>
        <n v="193.44"/>
        <n v="208.08"/>
        <n v="215.65"/>
        <n v="219.65"/>
        <n v="241.54"/>
        <n v="290.64999999999998"/>
        <n v="301.06"/>
        <n v="311.07"/>
        <n v="319.64999999999998"/>
        <n v="336.16"/>
        <n v="351.13"/>
        <n v="352.92"/>
        <n v="373.92"/>
        <n v="461.45"/>
        <n v="475.3"/>
        <n v="485.71"/>
        <n v="488.72"/>
        <n v="508.89"/>
        <n v="515.54999999999995"/>
        <n v="519.22"/>
        <n v="520.37"/>
        <n v="525.75"/>
        <n v="527.07000000000005"/>
        <n v="531.99"/>
        <n v="545.89"/>
        <n v="565.04999999999995"/>
        <n v="589.55999999999995"/>
        <n v="614"/>
        <n v="638.19000000000005"/>
        <n v="639.07000000000005"/>
        <n v="642.79"/>
        <n v="649.6"/>
        <n v="662.6"/>
        <n v="667.31"/>
        <n v="680.29"/>
        <n v="681.28"/>
        <n v="690.94"/>
        <n v="693.27"/>
        <n v="702.59"/>
        <n v="704.06"/>
        <n v="706.85"/>
        <n v="716.1"/>
        <n v="721.88"/>
        <n v="735.83"/>
        <n v="748.57"/>
        <n v="762.43"/>
        <n v="769.71"/>
        <n v="790.26"/>
        <n v="796.05"/>
        <n v="812.34"/>
        <n v="857.88"/>
        <n v="864.83"/>
        <n v="867.87"/>
        <n v="871.61"/>
        <n v="874.99"/>
        <n v="892.9"/>
        <n v="919.18"/>
        <n v="926.7"/>
        <n v="945.01"/>
        <n v="980.39"/>
        <n v="1002.6"/>
        <n v="1012.94"/>
        <n v="1024.82"/>
        <n v="1036.74"/>
        <n v="1044.52"/>
        <n v="1065.3499999999999"/>
        <n v="1070.57"/>
        <n v="1086.1400000000001"/>
        <n v="1089.26"/>
        <n v="1094.99"/>
        <n v="1099.07"/>
        <n v="1103.21"/>
        <n v="1122.6300000000001"/>
        <n v="1141.3399999999999"/>
        <n v="1142.49"/>
        <n v="1154.77"/>
        <n v="1205.5"/>
        <n v="1208.74"/>
        <n v="1213.53"/>
        <n v="1238.96"/>
        <n v="1239.98"/>
        <n v="1309.55"/>
        <n v="1318.62"/>
        <n v="1324.15"/>
        <n v="1326.27"/>
        <n v="1348.76"/>
        <n v="1352.71"/>
        <n v="1362.86"/>
        <n v="1371.71"/>
        <n v="1395.46"/>
        <n v="1459.77"/>
        <n v="1473.73"/>
        <n v="1474.56"/>
        <n v="1476.6"/>
        <n v="1483.44"/>
        <n v="1488.34"/>
        <n v="1499.57"/>
        <n v="1513.85"/>
        <n v="1522.81"/>
        <n v="1525.23"/>
        <n v="1529.96"/>
        <n v="1557.08"/>
        <n v="1592.4"/>
        <n v="1607.72"/>
        <n v="1612.07"/>
        <n v="1618.89"/>
        <n v="1623.66"/>
        <n v="1630.61"/>
        <n v="1639.47"/>
        <n v="1641.53"/>
        <n v="1647.66"/>
        <n v="1656.48"/>
        <n v="1665.85"/>
        <n v="1690.74"/>
        <n v="1700.6"/>
        <n v="1703.54"/>
        <n v="1714.09"/>
        <n v="1716.43"/>
        <n v="1722.85"/>
        <n v="1737.33"/>
        <n v="1756.63"/>
        <n v="1794.95"/>
        <n v="1803.01"/>
        <n v="1808.6"/>
        <n v="1818.1"/>
        <n v="1824.66"/>
        <n v="1863.33"/>
        <n v="1880.08"/>
        <n v="1887.72"/>
        <n v="1896.52"/>
        <n v="1911.49"/>
        <n v="1946.9"/>
        <n v="1960.56"/>
        <n v="1979.3"/>
        <n v="1979.42"/>
        <n v="1982.25"/>
        <n v="2013.23"/>
        <n v="2027.72"/>
        <n v="2035.91"/>
        <n v="2036.44"/>
        <n v="2036.75"/>
        <n v="2052.42"/>
        <n v="2055.38"/>
        <n v="2057.84"/>
        <n v="2060.9299999999998"/>
        <n v="2067.2800000000002"/>
        <n v="2067.86"/>
        <n v="2071.48"/>
        <n v="2087.0300000000002"/>
        <n v="2103.36"/>
        <n v="2134.19"/>
        <n v="2189.4299999999998"/>
        <n v="2190.1799999999998"/>
        <n v="2191.0100000000002"/>
        <n v="2202.9"/>
        <n v="2208.86"/>
        <n v="2210.38"/>
        <n v="2211.66"/>
        <n v="2222.7199999999998"/>
        <n v="2234.62"/>
        <n v="2249.34"/>
        <n v="2252.4"/>
        <n v="2270.0300000000002"/>
        <n v="2277.7199999999998"/>
        <n v="2286.14"/>
        <n v="2310.89"/>
        <n v="2319.0100000000002"/>
        <n v="2322.04"/>
        <n v="2344.59"/>
        <n v="2344.6799999999998"/>
        <n v="2347.48"/>
        <n v="2352.48"/>
        <n v="2379.75"/>
        <n v="2385.7199999999998"/>
        <n v="2388.77"/>
        <n v="2395.7199999999998"/>
        <n v="2398.02"/>
        <n v="2400.42"/>
        <n v="2410.79"/>
        <n v="2423.65"/>
        <n v="2423.8000000000002"/>
        <n v="2430.6799999999998"/>
        <n v="2461.4499999999998"/>
        <n v="2482.2399999999998"/>
        <n v="2487.7399999999998"/>
        <n v="2488.5700000000002"/>
        <n v="2488.85"/>
        <n v="2490.69"/>
        <n v="2497.39"/>
        <n v="2509.2399999999998"/>
        <n v="2511.46"/>
        <n v="2521.4699999999998"/>
        <n v="2539.37"/>
        <n v="2548.71"/>
        <n v="2555.8000000000002"/>
        <n v="2560.7800000000002"/>
        <n v="2580.36"/>
        <n v="2607.2399999999998"/>
        <n v="2631.58"/>
        <n v="2664.32"/>
        <n v="2674.64"/>
        <n v="2686.78"/>
        <n v="2731.38"/>
        <n v="2734.66"/>
        <n v="2748.19"/>
        <n v="2762.39"/>
        <n v="2765.77"/>
        <n v="2768.41"/>
        <n v="2778.56"/>
        <n v="2811.42"/>
        <n v="2825.09"/>
        <n v="2831.1"/>
        <n v="2841.13"/>
        <n v="2855.32"/>
        <n v="2877.49"/>
        <n v="2887.93"/>
        <n v="2897.56"/>
        <n v="2906.84"/>
        <n v="2915.85"/>
        <n v="2926.01"/>
        <n v="2927.61"/>
        <n v="2931.92"/>
        <n v="2946.13"/>
        <n v="2965.74"/>
        <n v="2999.94"/>
        <n v="3001.19"/>
        <n v="3009.2"/>
        <n v="3020.05"/>
        <n v="3020.83"/>
        <n v="3023.06"/>
        <n v="3034.44"/>
        <n v="3037.18"/>
        <n v="3063.47"/>
        <n v="3065.16"/>
        <n v="3111.49"/>
        <n v="3116.93"/>
        <n v="3121.9"/>
        <n v="3128.7"/>
        <n v="3142.57"/>
        <n v="3143.91"/>
        <n v="3167.15"/>
        <n v="3170.89"/>
        <n v="3172.93"/>
        <n v="3185.78"/>
        <n v="3262.13"/>
        <n v="3266.48"/>
        <n v="3283.18"/>
        <n v="3318.02"/>
        <n v="3324.16"/>
        <n v="3343.02"/>
        <n v="3357.21"/>
        <n v="3380.4"/>
        <n v="3384.15"/>
        <n v="3403.18"/>
        <n v="3417.81"/>
        <n v="3418.92"/>
        <n v="3426.48"/>
        <n v="3429.05"/>
        <n v="3435.25"/>
        <n v="3446"/>
        <n v="3458.21"/>
        <n v="3463.23"/>
        <n v="3482.29"/>
        <n v="3485.76"/>
        <n v="3493.81"/>
        <n v="3503.17"/>
        <n v="3525.98"/>
        <n v="3531.76"/>
        <n v="3538.34"/>
        <n v="3606.92"/>
        <n v="3609.42"/>
        <n v="3610.83"/>
        <n v="3611.89"/>
        <n v="3614.36"/>
        <n v="3633.78"/>
        <n v="3634.16"/>
        <n v="3646.55"/>
        <n v="3664.47"/>
        <n v="3668.16"/>
        <n v="3673.48"/>
        <n v="3675.46"/>
        <n v="3688.66"/>
        <n v="3693.59"/>
        <n v="3711.66"/>
        <n v="3726.77"/>
        <n v="3728.44"/>
        <n v="3748.16"/>
        <n v="3750.82"/>
        <n v="3758.19"/>
        <n v="3779.17"/>
        <n v="3780.67"/>
        <n v="3785.55"/>
        <n v="3789.39"/>
        <n v="3798.75"/>
        <n v="3821.82"/>
        <n v="3827.41"/>
        <n v="3831.66"/>
        <n v="3837.46"/>
        <n v="3850.57"/>
        <n v="3878.8"/>
        <n v="3882.77"/>
        <n v="3884.21"/>
        <n v="3885.91"/>
        <n v="3898.71"/>
        <n v="3947.73"/>
        <n v="3948.34"/>
        <n v="3967.67"/>
        <n v="3967.72"/>
        <n v="3968.21"/>
        <n v="3979.43"/>
        <n v="3995.36"/>
        <n v="4012.82"/>
        <n v="4019.46"/>
        <n v="4022.5"/>
        <n v="4026.12"/>
        <n v="4043.6"/>
        <n v="4046.59"/>
        <n v="4050.73"/>
        <n v="4051.8"/>
        <n v="4063.01"/>
        <n v="4069.06"/>
        <n v="4081.1"/>
        <n v="4098.9399999999996"/>
        <n v="4103.93"/>
        <n v="4113.05"/>
        <n v="4127.87"/>
        <n v="4132.6099999999997"/>
        <n v="4135.1000000000004"/>
        <n v="4137.7299999999996"/>
        <n v="4138.4799999999996"/>
        <n v="4143.96"/>
        <n v="4148.01"/>
        <n v="4149.17"/>
        <n v="4152.1400000000003"/>
        <n v="4161.8900000000003"/>
        <n v="4172.95"/>
        <n v="4179.68"/>
        <n v="4196.16"/>
        <n v="4196.68"/>
        <n v="4209.22"/>
        <n v="4218.54"/>
        <n v="4231.76"/>
        <n v="4252.22"/>
        <n v="4260.3100000000004"/>
        <n v="4274"/>
        <n v="4289.83"/>
        <n v="4290.24"/>
        <n v="4297.5"/>
        <n v="4303.7"/>
        <n v="4315.9399999999996"/>
        <n v="4318.45"/>
        <n v="4325.84"/>
        <n v="4381.8999999999996"/>
        <n v="4387.6400000000003"/>
        <n v="4390.8999999999996"/>
        <n v="4392.68"/>
        <n v="4433.24"/>
        <n v="4450.59"/>
        <n v="4461.18"/>
        <n v="4474.2700000000004"/>
        <n v="4483.1400000000003"/>
        <n v="4495.92"/>
        <n v="4496.38"/>
        <n v="4529.16"/>
        <n v="4551.28"/>
        <n v="4553.5600000000004"/>
        <n v="4554.9799999999996"/>
        <n v="4555.79"/>
        <n v="4557.5600000000004"/>
        <n v="4559.49"/>
        <n v="4587.8599999999997"/>
        <n v="4610.32"/>
        <n v="4616.38"/>
        <n v="4631.6000000000004"/>
        <n v="4644.96"/>
        <n v="4663.3100000000004"/>
        <n v="4666.1400000000003"/>
        <n v="4672.3500000000004"/>
        <n v="4677.32"/>
        <n v="4686.2700000000004"/>
        <n v="4701.04"/>
        <n v="4732.1400000000003"/>
        <n v="4737"/>
        <n v="4747.8100000000004"/>
        <n v="4750.18"/>
        <n v="4752.99"/>
        <n v="4753.9399999999996"/>
        <n v="4755.37"/>
        <n v="4764.03"/>
        <n v="4770.8900000000003"/>
        <n v="4782.21"/>
        <n v="4822.0200000000004"/>
        <n v="4829.8"/>
        <n v="4833.74"/>
        <n v="4852.42"/>
        <n v="4862.74"/>
        <n v="4871.6000000000004"/>
        <n v="4889.37"/>
        <n v="4893.6400000000003"/>
        <n v="4897.46"/>
        <n v="4906.68"/>
        <n v="4918.0200000000004"/>
        <n v="4922.95"/>
        <n v="4945.59"/>
        <n v="4957.66"/>
        <n v="4958.24"/>
        <n v="4962.8100000000004"/>
        <n v="4991.5200000000004"/>
        <n v="5010.99"/>
        <n v="5019.03"/>
        <n v="5035.1099999999997"/>
        <n v="5037.87"/>
        <n v="5049.75"/>
        <n v="5053.41"/>
        <n v="5056.6899999999996"/>
        <n v="5058.24"/>
        <n v="5061.05"/>
        <n v="5069.13"/>
        <n v="5077.8"/>
        <n v="5089.47"/>
        <n v="5095.2"/>
        <n v="5114.05"/>
        <n v="5134.79"/>
        <n v="5146.67"/>
        <n v="5153.91"/>
        <n v="5158.2299999999996"/>
        <n v="5168.8"/>
        <n v="5178.34"/>
        <n v="5184.6000000000004"/>
        <n v="5192.6400000000003"/>
        <n v="5194.8999999999996"/>
        <n v="5210.09"/>
        <n v="5222.4399999999996"/>
        <n v="5232.6499999999996"/>
        <n v="5242.6499999999996"/>
        <n v="5251.38"/>
        <n v="5252.99"/>
        <n v="5263.14"/>
        <n v="5280.72"/>
        <n v="5282.9"/>
        <n v="5302.78"/>
        <n v="5315.95"/>
        <n v="5349.1"/>
        <n v="5357.99"/>
        <n v="5362.65"/>
        <n v="5364.32"/>
        <n v="5365.99"/>
        <n v="5373.94"/>
        <n v="5377.62"/>
        <n v="5388.38"/>
        <n v="5416.49"/>
        <n v="5426.83"/>
        <n v="5431.69"/>
        <n v="5461.26"/>
        <n v="5495.01"/>
        <n v="5509.81"/>
        <n v="5521.91"/>
        <n v="5523.44"/>
        <n v="5529.3"/>
        <n v="5551.25"/>
        <n v="5555.77"/>
        <n v="5557.74"/>
        <n v="5607.18"/>
        <n v="5639.26"/>
        <n v="5649.26"/>
        <n v="5655.04"/>
        <n v="5659.41"/>
        <n v="5685.94"/>
        <n v="5686.21"/>
        <n v="5687.29"/>
        <n v="5707.56"/>
        <n v="5716.19"/>
        <n v="5717.99"/>
        <n v="5723.49"/>
        <n v="5727.32"/>
        <n v="5727.45"/>
        <n v="5727.54"/>
        <n v="5731.93"/>
        <n v="5749.95"/>
        <n v="5792.69"/>
        <n v="5810.11"/>
        <n v="5817.08"/>
        <n v="5824.62"/>
        <n v="5827.8"/>
        <n v="5831.44"/>
        <n v="5832.13"/>
        <n v="5835.87"/>
        <n v="5845.96"/>
        <n v="5848.5"/>
        <n v="5853.33"/>
        <n v="5859.78"/>
        <n v="5883.72"/>
        <n v="5894.13"/>
        <n v="5902.94"/>
        <n v="5917.69"/>
        <n v="5940.84"/>
        <n v="5980.06"/>
        <n v="6005.08"/>
        <n v="6025.7"/>
        <n v="6031.92"/>
        <n v="6048.25"/>
        <n v="6053.34"/>
        <n v="6078.25"/>
        <n v="6078.81"/>
        <n v="6080.42"/>
        <n v="6083.69"/>
        <n v="6090.97"/>
        <n v="6117.71"/>
        <n v="6131.28"/>
        <n v="6132.06"/>
        <n v="6150"/>
        <n v="6151.32"/>
        <n v="6157.57"/>
        <n v="6157.81"/>
        <n v="6165.78"/>
        <n v="6173.09"/>
        <n v="6175.75"/>
        <n v="6178.85"/>
        <n v="6188.81"/>
        <n v="6201.17"/>
        <n v="6206.25"/>
        <n v="6240.22"/>
        <n v="6241.03"/>
        <n v="6255.79"/>
        <n v="6259.36"/>
        <n v="6270.5"/>
        <n v="6280.46"/>
        <n v="6324.34"/>
        <n v="6336.82"/>
        <n v="6354.68"/>
        <n v="6367.45"/>
        <n v="6413.03"/>
        <n v="6423.22"/>
        <n v="6437.98"/>
        <n v="6447.41"/>
        <n v="6449.73"/>
        <n v="6473.6"/>
        <n v="6481.73"/>
        <n v="6483.44"/>
        <n v="6483.82"/>
        <n v="6548.26"/>
        <n v="6553.88"/>
        <n v="6557.44"/>
        <n v="6558.34"/>
        <n v="6571.07"/>
        <n v="6579.56"/>
        <n v="6582.79"/>
        <n v="6585.8"/>
        <n v="6587.19"/>
        <n v="6605.63"/>
        <n v="6609.47"/>
        <n v="6619.12"/>
        <n v="6628.85"/>
        <n v="6630.39"/>
        <n v="6656.14"/>
        <n v="6663.99"/>
        <n v="6670.22"/>
        <n v="6683.85"/>
        <n v="6688.82"/>
        <n v="6714.38"/>
        <n v="6720.15"/>
        <n v="6732.66"/>
        <n v="6738.95"/>
        <n v="6788.52"/>
        <n v="6794.78"/>
        <n v="6796.86"/>
        <n v="6806.72"/>
        <n v="6830.32"/>
        <n v="6849.02"/>
        <n v="6852.02"/>
        <n v="6864.93"/>
        <n v="6871.7"/>
        <n v="6872.34"/>
        <n v="6875.83"/>
        <n v="6886.87"/>
        <n v="6904.08"/>
        <n v="6921.97"/>
        <n v="6928.34"/>
        <n v="6929.2"/>
        <n v="6939.04"/>
        <n v="6939.71"/>
        <n v="6942.85"/>
        <n v="6946.55"/>
        <n v="6952.48"/>
        <n v="6961.4"/>
        <n v="6963.57"/>
        <n v="6978.96"/>
        <n v="7001.57"/>
        <n v="7005.74"/>
        <n v="7018.11"/>
        <n v="7020.52"/>
        <n v="7038.69"/>
        <n v="7076.5"/>
        <n v="7121.02"/>
        <n v="7145.68"/>
        <n v="7164.63"/>
        <n v="7172.8"/>
        <n v="7177.78"/>
        <n v="7183.5"/>
        <n v="7187.88"/>
        <n v="7189.28"/>
        <n v="7193.81"/>
        <n v="7211.63"/>
        <n v="7223"/>
        <n v="7226.97"/>
        <n v="7229.47"/>
        <n v="7231.3"/>
        <n v="7249.51"/>
        <n v="7258.4"/>
        <n v="7258.78"/>
        <n v="7271.54"/>
        <n v="7290.47"/>
        <n v="7318.13"/>
        <n v="7337.26"/>
        <n v="7340.79"/>
        <n v="7343.84"/>
        <n v="7355.53"/>
        <n v="7389.53"/>
        <n v="7400.08"/>
        <n v="7404.28"/>
        <n v="7418.63"/>
        <n v="7425.47"/>
        <n v="7474.9"/>
        <n v="7497.36"/>
        <n v="7499.39"/>
        <n v="7500.89"/>
        <n v="7523.93"/>
        <n v="7526.9"/>
        <n v="7550.64"/>
        <n v="7587.71"/>
        <n v="7594.94"/>
        <n v="7635.19"/>
        <n v="7637.13"/>
        <n v="7642.11"/>
        <n v="7645.96"/>
        <n v="7731.19"/>
        <n v="7731.4"/>
        <n v="7760.36"/>
        <n v="7764.14"/>
        <n v="7764.95"/>
        <n v="7766.41"/>
        <n v="7797.16"/>
        <n v="7799.15"/>
        <n v="7801.76"/>
        <n v="7802.53"/>
        <n v="7810.08"/>
        <n v="7916.77"/>
        <n v="7953.05"/>
        <n v="7964.65"/>
        <n v="7973.18"/>
        <n v="7974.6"/>
        <n v="7976.56"/>
        <n v="7993.63"/>
        <n v="8016.89"/>
        <n v="8019.78"/>
        <n v="8043.07"/>
        <n v="8047.17"/>
        <n v="8068.61"/>
        <n v="8076.92"/>
        <n v="8101.39"/>
        <n v="8114.97"/>
        <n v="8121.7"/>
        <n v="8123.26"/>
        <n v="8132.96"/>
        <n v="8135.58"/>
        <n v="8146.67"/>
        <n v="8148.79"/>
        <n v="8164.85"/>
        <n v="8165.99"/>
        <n v="8206.36"/>
        <n v="8213.2199999999993"/>
        <n v="8222.25"/>
        <n v="8268.84"/>
        <n v="8296.06"/>
        <n v="8299.36"/>
        <n v="8310.4"/>
        <n v="8315.2900000000009"/>
        <n v="8316.06"/>
        <n v="8320"/>
        <n v="8330.26"/>
        <n v="8354.69"/>
        <n v="8354.89"/>
        <n v="8368.15"/>
        <n v="8379.44"/>
        <n v="8381.14"/>
        <n v="8424.66"/>
        <n v="8425.35"/>
        <n v="8428.1200000000008"/>
        <n v="8475.24"/>
        <n v="8491.15"/>
        <n v="8493.92"/>
        <n v="8501.98"/>
        <n v="8527.2000000000007"/>
        <n v="8530.57"/>
        <n v="8595.74"/>
        <n v="8621.2800000000007"/>
        <n v="8623.7099999999991"/>
        <n v="8626.23"/>
        <n v="8630.27"/>
        <n v="8638.68"/>
        <n v="8644.98"/>
        <n v="8655.8799999999992"/>
        <n v="8658.59"/>
        <n v="8659.4599999999991"/>
        <n v="8702.15"/>
        <n v="8718.19"/>
        <n v="8726.7099999999991"/>
        <n v="8745.19"/>
        <n v="8750.99"/>
        <n v="8765.25"/>
        <n v="8783.9"/>
        <n v="8788.44"/>
        <n v="8811.27"/>
        <n v="8828.57"/>
        <n v="8833.5499999999993"/>
        <n v="8850.85"/>
        <n v="8858.73"/>
        <n v="8868.24"/>
        <n v="8875.6299999999992"/>
        <n v="8886.66"/>
        <n v="8900.93"/>
        <n v="8911.7099999999991"/>
        <n v="8912.4500000000007"/>
        <n v="8916.6299999999992"/>
        <n v="8920.14"/>
        <n v="8920.39"/>
        <n v="8921.32"/>
        <n v="8939.67"/>
        <n v="8955.32"/>
        <n v="8995.8700000000008"/>
        <n v="9000.11"/>
        <n v="9004.9599999999991"/>
        <n v="9010.83"/>
        <n v="9027.7800000000007"/>
        <n v="9029.51"/>
        <n v="9037.77"/>
        <n v="9067.1"/>
        <n v="9086.5"/>
        <n v="9089.59"/>
        <n v="9105.43"/>
        <n v="9108.58"/>
        <n v="9129.89"/>
        <n v="9132.07"/>
        <n v="9136.7800000000007"/>
        <n v="9154.58"/>
        <n v="9157.99"/>
        <n v="9158.43"/>
        <n v="9174.01"/>
        <n v="9187.58"/>
        <n v="9195.5300000000007"/>
        <n v="9202.01"/>
        <n v="9207.85"/>
        <n v="9210.82"/>
        <n v="9236.5300000000007"/>
        <n v="9240.2800000000007"/>
        <n v="9244.84"/>
        <n v="9248.4699999999993"/>
        <n v="9277.2199999999993"/>
        <n v="9305.1"/>
        <n v="9314.0499999999993"/>
        <n v="9317.2900000000009"/>
        <n v="9332.74"/>
        <n v="9347.65"/>
        <n v="9371.57"/>
        <n v="9373.5400000000009"/>
        <n v="9392.27"/>
        <n v="9393.6"/>
        <n v="9399.99"/>
        <n v="9408.7800000000007"/>
        <n v="9411.48"/>
        <n v="9412.84"/>
        <n v="9431.51"/>
        <n v="9537.52"/>
        <n v="9538.4699999999993"/>
        <n v="9565.11"/>
        <n v="9567.4599999999991"/>
        <n v="9580.2900000000009"/>
        <n v="9583.77"/>
        <n v="9586.08"/>
        <n v="9593.94"/>
        <n v="9599.94"/>
        <n v="9621.2199999999993"/>
        <n v="9631.99"/>
        <n v="9638.6299999999992"/>
        <n v="9638.7000000000007"/>
        <n v="9659.7800000000007"/>
        <n v="9670.91"/>
        <n v="9671.83"/>
        <n v="9708.81"/>
        <n v="9715.4699999999993"/>
        <n v="9729.25"/>
        <n v="9731.43"/>
        <n v="9737.67"/>
        <n v="9751.09"/>
        <n v="9751.7999999999993"/>
        <n v="9752.76"/>
        <n v="9781.89"/>
        <n v="9798.16"/>
        <n v="9809.0300000000007"/>
        <n v="9835.49"/>
        <n v="9844.52"/>
        <n v="9852.0300000000007"/>
        <n v="9863.94"/>
        <n v="9896.77"/>
        <n v="9926.25"/>
        <n v="9938.91"/>
        <n v="9953.07"/>
        <n v="9963.27"/>
        <n v="9963.31"/>
        <n v="9975.94"/>
        <n v="9999.7099999999991"/>
        <n v="10018.26"/>
        <n v="10045.48"/>
        <n v="10057.799999999999"/>
        <n v="10074.299999999999"/>
        <n v="10077.24"/>
        <n v="10134.36"/>
        <n v="10135.719999999999"/>
        <n v="10148.219999999999"/>
        <n v="10161.18"/>
        <n v="10178.19"/>
        <n v="10189.24"/>
        <n v="10196.719999999999"/>
        <n v="10231.98"/>
        <n v="10247.14"/>
        <n v="10254.620000000001"/>
        <n v="10261.84"/>
        <n v="10293.91"/>
        <n v="10297.49"/>
        <n v="10301.4"/>
        <n v="10302.32"/>
        <n v="10309.15"/>
        <n v="10311.44"/>
        <n v="10316.39"/>
        <n v="10322.76"/>
        <n v="10343.950000000001"/>
        <n v="10344.280000000001"/>
        <n v="10346.9"/>
        <n v="10362.370000000001"/>
        <n v="10368.01"/>
        <n v="10379.18"/>
        <n v="10387.6"/>
        <n v="10399.129999999999"/>
        <n v="10403.76"/>
        <n v="10411.370000000001"/>
        <n v="10422.36"/>
        <n v="10440.93"/>
        <n v="10442.31"/>
        <n v="10482.870000000001"/>
        <n v="10497.97"/>
        <n v="10512.09"/>
        <n v="10517.06"/>
        <n v="10539.11"/>
        <n v="10557.39"/>
        <n v="10561.24"/>
        <n v="10563.04"/>
        <n v="10564.06"/>
        <n v="10564.98"/>
        <n v="10576.7"/>
        <n v="10610.02"/>
        <n v="10617.9"/>
        <n v="10619.52"/>
        <n v="10628.6"/>
        <n v="10639.75"/>
        <n v="10642.25"/>
        <n v="10654.72"/>
        <n v="10655.25"/>
        <n v="10663.89"/>
        <n v="10693.37"/>
        <n v="10699.12"/>
        <n v="10724.99"/>
        <n v="10732.51"/>
        <n v="10751.89"/>
        <n v="10764.07"/>
        <n v="10769.09"/>
        <n v="10773.76"/>
        <n v="10773.9"/>
        <n v="10780.56"/>
        <n v="10796.02"/>
        <n v="10868.32"/>
        <n v="10889.15"/>
        <n v="10910.48"/>
        <n v="10914.97"/>
        <n v="10915.57"/>
        <n v="10917.68"/>
        <n v="10919.1"/>
        <n v="10919.66"/>
        <n v="10923.67"/>
        <n v="10934.37"/>
        <n v="10957.97"/>
        <n v="10960.85"/>
        <n v="10963.09"/>
        <n v="10984.27"/>
        <n v="11002.05"/>
        <n v="11015.88"/>
        <n v="11034.54"/>
        <n v="11050.4"/>
        <n v="11052.26"/>
        <n v="11073.09"/>
        <n v="11075.11"/>
        <n v="11075.61"/>
        <n v="11099.47"/>
        <n v="11116.41"/>
        <n v="11126.55"/>
        <n v="11149.26"/>
        <n v="11156.37"/>
        <n v="11165.47"/>
        <n v="11184.3"/>
        <n v="11194.17"/>
        <n v="11196.4"/>
        <n v="11197.77"/>
        <n v="11217.8"/>
        <n v="11220.81"/>
        <n v="11227.96"/>
        <n v="11259.87"/>
        <n v="11261.27"/>
        <n v="11282.1"/>
        <n v="11294.86"/>
        <n v="11298.95"/>
        <n v="11300.62"/>
        <n v="11307.6"/>
        <n v="11339.25"/>
        <n v="11343.04"/>
        <n v="11351.71"/>
        <n v="11374.85"/>
        <n v="11375.97"/>
        <n v="11383.02"/>
        <n v="11393.81"/>
        <n v="11427.15"/>
        <n v="11431.02"/>
        <n v="11439.79"/>
        <n v="11443.16"/>
        <n v="11445.91"/>
        <n v="11467.61"/>
        <n v="11470.01"/>
        <n v="11477.69"/>
        <n v="11487.76"/>
        <n v="11499.75"/>
        <n v="11508.52"/>
        <n v="11530.92"/>
        <n v="11538.93"/>
        <n v="11540.53"/>
        <n v="11546.6"/>
        <n v="11566.04"/>
        <n v="11589.39"/>
        <n v="11591.7"/>
        <n v="11596.98"/>
        <n v="11600.37"/>
        <n v="11601.14"/>
        <n v="11602.14"/>
        <n v="11602.47"/>
        <n v="11605.27"/>
        <n v="11608.89"/>
        <n v="11639.34"/>
        <n v="11642.39"/>
        <n v="11663.55"/>
        <n v="11670.91"/>
        <n v="11700.11"/>
        <n v="11706.15"/>
        <n v="11710.56"/>
        <n v="11719.9"/>
        <n v="11720.58"/>
        <n v="11728.54"/>
        <n v="11730.61"/>
        <n v="11739.74"/>
        <n v="11749.43"/>
        <n v="11776.03"/>
        <n v="11793.74"/>
        <n v="11796.22"/>
        <n v="11805.35"/>
        <n v="11816.62"/>
        <n v="11843.41"/>
        <n v="11858.08"/>
        <n v="11866.64"/>
        <n v="11883.91"/>
        <n v="11898.82"/>
        <n v="11906.02"/>
        <n v="11910.55"/>
        <n v="11932.25"/>
        <n v="11945.29"/>
        <n v="11949.03"/>
        <n v="11958.49"/>
        <n v="11963.55"/>
        <n v="11985.58"/>
        <m/>
      </sharedItems>
    </cacheField>
    <cacheField name="clean category" numFmtId="0">
      <sharedItems count="2">
        <s v="Furniture"/>
        <s v="Technology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00">
  <r>
    <x v="0"/>
    <x v="133"/>
    <x v="1"/>
    <x v="1"/>
    <x v="0"/>
    <x v="2"/>
    <x v="2"/>
    <x v="133"/>
    <x v="5"/>
    <x v="90"/>
    <x v="0"/>
  </r>
  <r>
    <x v="1"/>
    <x v="187"/>
    <x v="3"/>
    <x v="5"/>
    <x v="1"/>
    <x v="1"/>
    <x v="6"/>
    <x v="6"/>
    <x v="4"/>
    <x v="164"/>
    <x v="1"/>
  </r>
  <r>
    <x v="2"/>
    <x v="196"/>
    <x v="6"/>
    <x v="2"/>
    <x v="1"/>
    <x v="1"/>
    <x v="2"/>
    <x v="622"/>
    <x v="5"/>
    <x v="789"/>
    <x v="1"/>
  </r>
  <r>
    <x v="3"/>
    <x v="204"/>
    <x v="4"/>
    <x v="1"/>
    <x v="0"/>
    <x v="1"/>
    <x v="2"/>
    <x v="454"/>
    <x v="4"/>
    <x v="678"/>
    <x v="0"/>
  </r>
  <r>
    <x v="4"/>
    <x v="222"/>
    <x v="3"/>
    <x v="3"/>
    <x v="1"/>
    <x v="2"/>
    <x v="1"/>
    <x v="124"/>
    <x v="0"/>
    <x v="560"/>
    <x v="1"/>
  </r>
  <r>
    <x v="5"/>
    <x v="42"/>
    <x v="3"/>
    <x v="0"/>
    <x v="0"/>
    <x v="3"/>
    <x v="5"/>
    <x v="956"/>
    <x v="3"/>
    <x v="487"/>
    <x v="0"/>
  </r>
  <r>
    <x v="6"/>
    <x v="31"/>
    <x v="1"/>
    <x v="2"/>
    <x v="1"/>
    <x v="1"/>
    <x v="5"/>
    <x v="524"/>
    <x v="5"/>
    <x v="911"/>
    <x v="1"/>
  </r>
  <r>
    <x v="7"/>
    <x v="234"/>
    <x v="6"/>
    <x v="2"/>
    <x v="1"/>
    <x v="2"/>
    <x v="5"/>
    <x v="244"/>
    <x v="4"/>
    <x v="69"/>
    <x v="1"/>
  </r>
  <r>
    <x v="8"/>
    <x v="74"/>
    <x v="5"/>
    <x v="1"/>
    <x v="0"/>
    <x v="3"/>
    <x v="3"/>
    <x v="498"/>
    <x v="1"/>
    <x v="266"/>
    <x v="0"/>
  </r>
  <r>
    <x v="9"/>
    <x v="237"/>
    <x v="8"/>
    <x v="6"/>
    <x v="1"/>
    <x v="1"/>
    <x v="4"/>
    <x v="677"/>
    <x v="1"/>
    <x v="354"/>
    <x v="1"/>
  </r>
  <r>
    <x v="10"/>
    <x v="183"/>
    <x v="2"/>
    <x v="3"/>
    <x v="1"/>
    <x v="0"/>
    <x v="5"/>
    <x v="82"/>
    <x v="5"/>
    <x v="780"/>
    <x v="1"/>
  </r>
  <r>
    <x v="11"/>
    <x v="279"/>
    <x v="2"/>
    <x v="1"/>
    <x v="0"/>
    <x v="3"/>
    <x v="2"/>
    <x v="286"/>
    <x v="3"/>
    <x v="991"/>
    <x v="0"/>
  </r>
  <r>
    <x v="12"/>
    <x v="9"/>
    <x v="4"/>
    <x v="3"/>
    <x v="1"/>
    <x v="1"/>
    <x v="2"/>
    <x v="812"/>
    <x v="5"/>
    <x v="232"/>
    <x v="1"/>
  </r>
  <r>
    <x v="13"/>
    <x v="288"/>
    <x v="4"/>
    <x v="3"/>
    <x v="1"/>
    <x v="3"/>
    <x v="5"/>
    <x v="466"/>
    <x v="0"/>
    <x v="862"/>
    <x v="1"/>
  </r>
  <r>
    <x v="14"/>
    <x v="264"/>
    <x v="2"/>
    <x v="0"/>
    <x v="0"/>
    <x v="3"/>
    <x v="6"/>
    <x v="537"/>
    <x v="4"/>
    <x v="822"/>
    <x v="0"/>
  </r>
  <r>
    <x v="15"/>
    <x v="224"/>
    <x v="8"/>
    <x v="2"/>
    <x v="1"/>
    <x v="3"/>
    <x v="5"/>
    <x v="437"/>
    <x v="0"/>
    <x v="216"/>
    <x v="1"/>
  </r>
  <r>
    <x v="16"/>
    <x v="232"/>
    <x v="2"/>
    <x v="5"/>
    <x v="1"/>
    <x v="3"/>
    <x v="2"/>
    <x v="44"/>
    <x v="1"/>
    <x v="404"/>
    <x v="1"/>
  </r>
  <r>
    <x v="17"/>
    <x v="339"/>
    <x v="7"/>
    <x v="0"/>
    <x v="0"/>
    <x v="3"/>
    <x v="3"/>
    <x v="155"/>
    <x v="4"/>
    <x v="416"/>
    <x v="0"/>
  </r>
  <r>
    <x v="18"/>
    <x v="4"/>
    <x v="8"/>
    <x v="0"/>
    <x v="0"/>
    <x v="3"/>
    <x v="0"/>
    <x v="452"/>
    <x v="5"/>
    <x v="977"/>
    <x v="0"/>
  </r>
  <r>
    <x v="19"/>
    <x v="108"/>
    <x v="4"/>
    <x v="3"/>
    <x v="1"/>
    <x v="1"/>
    <x v="0"/>
    <x v="206"/>
    <x v="0"/>
    <x v="170"/>
    <x v="1"/>
  </r>
  <r>
    <x v="20"/>
    <x v="267"/>
    <x v="0"/>
    <x v="7"/>
    <x v="1"/>
    <x v="0"/>
    <x v="5"/>
    <x v="47"/>
    <x v="2"/>
    <x v="793"/>
    <x v="1"/>
  </r>
  <r>
    <x v="21"/>
    <x v="59"/>
    <x v="1"/>
    <x v="2"/>
    <x v="1"/>
    <x v="2"/>
    <x v="1"/>
    <x v="849"/>
    <x v="3"/>
    <x v="328"/>
    <x v="1"/>
  </r>
  <r>
    <x v="22"/>
    <x v="134"/>
    <x v="5"/>
    <x v="6"/>
    <x v="1"/>
    <x v="3"/>
    <x v="5"/>
    <x v="984"/>
    <x v="3"/>
    <x v="723"/>
    <x v="1"/>
  </r>
  <r>
    <x v="23"/>
    <x v="207"/>
    <x v="5"/>
    <x v="0"/>
    <x v="0"/>
    <x v="2"/>
    <x v="6"/>
    <x v="793"/>
    <x v="2"/>
    <x v="430"/>
    <x v="0"/>
  </r>
  <r>
    <x v="24"/>
    <x v="221"/>
    <x v="6"/>
    <x v="5"/>
    <x v="1"/>
    <x v="1"/>
    <x v="5"/>
    <x v="857"/>
    <x v="1"/>
    <x v="597"/>
    <x v="1"/>
  </r>
  <r>
    <x v="25"/>
    <x v="163"/>
    <x v="4"/>
    <x v="7"/>
    <x v="1"/>
    <x v="1"/>
    <x v="0"/>
    <x v="245"/>
    <x v="4"/>
    <x v="823"/>
    <x v="1"/>
  </r>
  <r>
    <x v="26"/>
    <x v="248"/>
    <x v="4"/>
    <x v="7"/>
    <x v="1"/>
    <x v="1"/>
    <x v="2"/>
    <x v="959"/>
    <x v="3"/>
    <x v="798"/>
    <x v="1"/>
  </r>
  <r>
    <x v="27"/>
    <x v="316"/>
    <x v="3"/>
    <x v="6"/>
    <x v="1"/>
    <x v="2"/>
    <x v="5"/>
    <x v="192"/>
    <x v="2"/>
    <x v="856"/>
    <x v="1"/>
  </r>
  <r>
    <x v="28"/>
    <x v="260"/>
    <x v="5"/>
    <x v="0"/>
    <x v="0"/>
    <x v="3"/>
    <x v="2"/>
    <x v="950"/>
    <x v="5"/>
    <x v="58"/>
    <x v="0"/>
  </r>
  <r>
    <x v="29"/>
    <x v="57"/>
    <x v="3"/>
    <x v="5"/>
    <x v="1"/>
    <x v="1"/>
    <x v="2"/>
    <x v="990"/>
    <x v="2"/>
    <x v="691"/>
    <x v="1"/>
  </r>
  <r>
    <x v="30"/>
    <x v="201"/>
    <x v="3"/>
    <x v="2"/>
    <x v="1"/>
    <x v="0"/>
    <x v="1"/>
    <x v="709"/>
    <x v="1"/>
    <x v="131"/>
    <x v="1"/>
  </r>
  <r>
    <x v="31"/>
    <x v="317"/>
    <x v="1"/>
    <x v="4"/>
    <x v="1"/>
    <x v="2"/>
    <x v="2"/>
    <x v="982"/>
    <x v="1"/>
    <x v="422"/>
    <x v="1"/>
  </r>
  <r>
    <x v="32"/>
    <x v="291"/>
    <x v="3"/>
    <x v="5"/>
    <x v="1"/>
    <x v="2"/>
    <x v="0"/>
    <x v="557"/>
    <x v="0"/>
    <x v="562"/>
    <x v="1"/>
  </r>
  <r>
    <x v="33"/>
    <x v="261"/>
    <x v="8"/>
    <x v="6"/>
    <x v="1"/>
    <x v="3"/>
    <x v="3"/>
    <x v="264"/>
    <x v="3"/>
    <x v="408"/>
    <x v="1"/>
  </r>
  <r>
    <x v="34"/>
    <x v="163"/>
    <x v="2"/>
    <x v="7"/>
    <x v="1"/>
    <x v="0"/>
    <x v="3"/>
    <x v="443"/>
    <x v="0"/>
    <x v="537"/>
    <x v="1"/>
  </r>
  <r>
    <x v="35"/>
    <x v="89"/>
    <x v="0"/>
    <x v="2"/>
    <x v="1"/>
    <x v="0"/>
    <x v="4"/>
    <x v="584"/>
    <x v="2"/>
    <x v="995"/>
    <x v="1"/>
  </r>
  <r>
    <x v="36"/>
    <x v="95"/>
    <x v="4"/>
    <x v="5"/>
    <x v="1"/>
    <x v="0"/>
    <x v="6"/>
    <x v="78"/>
    <x v="4"/>
    <x v="125"/>
    <x v="1"/>
  </r>
  <r>
    <x v="37"/>
    <x v="90"/>
    <x v="8"/>
    <x v="4"/>
    <x v="1"/>
    <x v="0"/>
    <x v="5"/>
    <x v="611"/>
    <x v="4"/>
    <x v="674"/>
    <x v="1"/>
  </r>
  <r>
    <x v="38"/>
    <x v="287"/>
    <x v="0"/>
    <x v="4"/>
    <x v="1"/>
    <x v="1"/>
    <x v="6"/>
    <x v="983"/>
    <x v="1"/>
    <x v="403"/>
    <x v="1"/>
  </r>
  <r>
    <x v="39"/>
    <x v="5"/>
    <x v="5"/>
    <x v="3"/>
    <x v="1"/>
    <x v="0"/>
    <x v="0"/>
    <x v="182"/>
    <x v="4"/>
    <x v="121"/>
    <x v="1"/>
  </r>
  <r>
    <x v="40"/>
    <x v="183"/>
    <x v="5"/>
    <x v="3"/>
    <x v="1"/>
    <x v="2"/>
    <x v="2"/>
    <x v="791"/>
    <x v="4"/>
    <x v="144"/>
    <x v="1"/>
  </r>
  <r>
    <x v="41"/>
    <x v="325"/>
    <x v="5"/>
    <x v="1"/>
    <x v="0"/>
    <x v="2"/>
    <x v="3"/>
    <x v="909"/>
    <x v="4"/>
    <x v="940"/>
    <x v="0"/>
  </r>
  <r>
    <x v="42"/>
    <x v="122"/>
    <x v="8"/>
    <x v="6"/>
    <x v="1"/>
    <x v="1"/>
    <x v="6"/>
    <x v="940"/>
    <x v="2"/>
    <x v="867"/>
    <x v="1"/>
  </r>
  <r>
    <x v="43"/>
    <x v="332"/>
    <x v="8"/>
    <x v="0"/>
    <x v="0"/>
    <x v="2"/>
    <x v="0"/>
    <x v="958"/>
    <x v="4"/>
    <x v="893"/>
    <x v="0"/>
  </r>
  <r>
    <x v="44"/>
    <x v="240"/>
    <x v="4"/>
    <x v="5"/>
    <x v="1"/>
    <x v="2"/>
    <x v="3"/>
    <x v="520"/>
    <x v="5"/>
    <x v="989"/>
    <x v="1"/>
  </r>
  <r>
    <x v="45"/>
    <x v="21"/>
    <x v="2"/>
    <x v="5"/>
    <x v="1"/>
    <x v="0"/>
    <x v="2"/>
    <x v="978"/>
    <x v="4"/>
    <x v="205"/>
    <x v="1"/>
  </r>
  <r>
    <x v="46"/>
    <x v="48"/>
    <x v="6"/>
    <x v="0"/>
    <x v="0"/>
    <x v="2"/>
    <x v="6"/>
    <x v="757"/>
    <x v="4"/>
    <x v="360"/>
    <x v="0"/>
  </r>
  <r>
    <x v="47"/>
    <x v="153"/>
    <x v="3"/>
    <x v="1"/>
    <x v="0"/>
    <x v="1"/>
    <x v="3"/>
    <x v="149"/>
    <x v="0"/>
    <x v="669"/>
    <x v="0"/>
  </r>
  <r>
    <x v="48"/>
    <x v="188"/>
    <x v="5"/>
    <x v="7"/>
    <x v="1"/>
    <x v="0"/>
    <x v="5"/>
    <x v="478"/>
    <x v="2"/>
    <x v="497"/>
    <x v="1"/>
  </r>
  <r>
    <x v="49"/>
    <x v="75"/>
    <x v="1"/>
    <x v="7"/>
    <x v="1"/>
    <x v="3"/>
    <x v="5"/>
    <x v="717"/>
    <x v="1"/>
    <x v="425"/>
    <x v="1"/>
  </r>
  <r>
    <x v="50"/>
    <x v="133"/>
    <x v="2"/>
    <x v="1"/>
    <x v="0"/>
    <x v="0"/>
    <x v="4"/>
    <x v="250"/>
    <x v="0"/>
    <x v="364"/>
    <x v="0"/>
  </r>
  <r>
    <x v="51"/>
    <x v="77"/>
    <x v="1"/>
    <x v="7"/>
    <x v="1"/>
    <x v="1"/>
    <x v="4"/>
    <x v="630"/>
    <x v="3"/>
    <x v="607"/>
    <x v="1"/>
  </r>
  <r>
    <x v="52"/>
    <x v="71"/>
    <x v="4"/>
    <x v="3"/>
    <x v="1"/>
    <x v="0"/>
    <x v="3"/>
    <x v="657"/>
    <x v="2"/>
    <x v="590"/>
    <x v="1"/>
  </r>
  <r>
    <x v="53"/>
    <x v="0"/>
    <x v="4"/>
    <x v="5"/>
    <x v="1"/>
    <x v="0"/>
    <x v="0"/>
    <x v="150"/>
    <x v="5"/>
    <x v="147"/>
    <x v="1"/>
  </r>
  <r>
    <x v="54"/>
    <x v="46"/>
    <x v="4"/>
    <x v="1"/>
    <x v="0"/>
    <x v="1"/>
    <x v="5"/>
    <x v="553"/>
    <x v="2"/>
    <x v="482"/>
    <x v="0"/>
  </r>
  <r>
    <x v="55"/>
    <x v="160"/>
    <x v="0"/>
    <x v="5"/>
    <x v="1"/>
    <x v="0"/>
    <x v="0"/>
    <x v="773"/>
    <x v="3"/>
    <x v="568"/>
    <x v="1"/>
  </r>
  <r>
    <x v="56"/>
    <x v="190"/>
    <x v="1"/>
    <x v="0"/>
    <x v="0"/>
    <x v="1"/>
    <x v="0"/>
    <x v="495"/>
    <x v="3"/>
    <x v="583"/>
    <x v="1"/>
  </r>
  <r>
    <x v="57"/>
    <x v="241"/>
    <x v="2"/>
    <x v="4"/>
    <x v="1"/>
    <x v="1"/>
    <x v="3"/>
    <x v="14"/>
    <x v="3"/>
    <x v="208"/>
    <x v="1"/>
  </r>
  <r>
    <x v="58"/>
    <x v="266"/>
    <x v="6"/>
    <x v="3"/>
    <x v="1"/>
    <x v="3"/>
    <x v="0"/>
    <x v="9"/>
    <x v="1"/>
    <x v="737"/>
    <x v="1"/>
  </r>
  <r>
    <x v="59"/>
    <x v="30"/>
    <x v="2"/>
    <x v="2"/>
    <x v="1"/>
    <x v="2"/>
    <x v="5"/>
    <x v="366"/>
    <x v="4"/>
    <x v="23"/>
    <x v="1"/>
  </r>
  <r>
    <x v="60"/>
    <x v="322"/>
    <x v="8"/>
    <x v="3"/>
    <x v="1"/>
    <x v="2"/>
    <x v="2"/>
    <x v="923"/>
    <x v="2"/>
    <x v="359"/>
    <x v="1"/>
  </r>
  <r>
    <x v="61"/>
    <x v="86"/>
    <x v="8"/>
    <x v="1"/>
    <x v="0"/>
    <x v="0"/>
    <x v="4"/>
    <x v="226"/>
    <x v="4"/>
    <x v="777"/>
    <x v="0"/>
  </r>
  <r>
    <x v="62"/>
    <x v="65"/>
    <x v="5"/>
    <x v="2"/>
    <x v="1"/>
    <x v="0"/>
    <x v="2"/>
    <x v="626"/>
    <x v="4"/>
    <x v="576"/>
    <x v="1"/>
  </r>
  <r>
    <x v="63"/>
    <x v="35"/>
    <x v="6"/>
    <x v="4"/>
    <x v="1"/>
    <x v="3"/>
    <x v="0"/>
    <x v="222"/>
    <x v="5"/>
    <x v="254"/>
    <x v="1"/>
  </r>
  <r>
    <x v="64"/>
    <x v="142"/>
    <x v="8"/>
    <x v="1"/>
    <x v="0"/>
    <x v="3"/>
    <x v="2"/>
    <x v="330"/>
    <x v="3"/>
    <x v="693"/>
    <x v="0"/>
  </r>
  <r>
    <x v="65"/>
    <x v="231"/>
    <x v="4"/>
    <x v="6"/>
    <x v="1"/>
    <x v="3"/>
    <x v="5"/>
    <x v="853"/>
    <x v="1"/>
    <x v="580"/>
    <x v="1"/>
  </r>
  <r>
    <x v="66"/>
    <x v="150"/>
    <x v="2"/>
    <x v="5"/>
    <x v="1"/>
    <x v="1"/>
    <x v="5"/>
    <x v="726"/>
    <x v="5"/>
    <x v="787"/>
    <x v="1"/>
  </r>
  <r>
    <x v="67"/>
    <x v="107"/>
    <x v="1"/>
    <x v="4"/>
    <x v="1"/>
    <x v="3"/>
    <x v="0"/>
    <x v="101"/>
    <x v="0"/>
    <x v="727"/>
    <x v="1"/>
  </r>
  <r>
    <x v="68"/>
    <x v="240"/>
    <x v="4"/>
    <x v="5"/>
    <x v="1"/>
    <x v="3"/>
    <x v="3"/>
    <x v="430"/>
    <x v="1"/>
    <x v="627"/>
    <x v="1"/>
  </r>
  <r>
    <x v="69"/>
    <x v="282"/>
    <x v="0"/>
    <x v="7"/>
    <x v="1"/>
    <x v="0"/>
    <x v="2"/>
    <x v="28"/>
    <x v="4"/>
    <x v="504"/>
    <x v="1"/>
  </r>
  <r>
    <x v="70"/>
    <x v="42"/>
    <x v="8"/>
    <x v="6"/>
    <x v="1"/>
    <x v="3"/>
    <x v="3"/>
    <x v="479"/>
    <x v="1"/>
    <x v="122"/>
    <x v="1"/>
  </r>
  <r>
    <x v="71"/>
    <x v="42"/>
    <x v="4"/>
    <x v="6"/>
    <x v="1"/>
    <x v="1"/>
    <x v="3"/>
    <x v="652"/>
    <x v="3"/>
    <x v="255"/>
    <x v="1"/>
  </r>
  <r>
    <x v="72"/>
    <x v="218"/>
    <x v="4"/>
    <x v="4"/>
    <x v="1"/>
    <x v="1"/>
    <x v="1"/>
    <x v="117"/>
    <x v="0"/>
    <x v="428"/>
    <x v="1"/>
  </r>
  <r>
    <x v="73"/>
    <x v="205"/>
    <x v="0"/>
    <x v="6"/>
    <x v="1"/>
    <x v="0"/>
    <x v="0"/>
    <x v="304"/>
    <x v="3"/>
    <x v="615"/>
    <x v="1"/>
  </r>
  <r>
    <x v="74"/>
    <x v="232"/>
    <x v="3"/>
    <x v="2"/>
    <x v="1"/>
    <x v="3"/>
    <x v="4"/>
    <x v="404"/>
    <x v="0"/>
    <x v="531"/>
    <x v="1"/>
  </r>
  <r>
    <x v="75"/>
    <x v="289"/>
    <x v="2"/>
    <x v="6"/>
    <x v="1"/>
    <x v="3"/>
    <x v="5"/>
    <x v="918"/>
    <x v="5"/>
    <x v="277"/>
    <x v="1"/>
  </r>
  <r>
    <x v="76"/>
    <x v="102"/>
    <x v="1"/>
    <x v="5"/>
    <x v="1"/>
    <x v="1"/>
    <x v="5"/>
    <x v="989"/>
    <x v="4"/>
    <x v="6"/>
    <x v="1"/>
  </r>
  <r>
    <x v="77"/>
    <x v="236"/>
    <x v="5"/>
    <x v="5"/>
    <x v="1"/>
    <x v="3"/>
    <x v="0"/>
    <x v="45"/>
    <x v="0"/>
    <x v="509"/>
    <x v="1"/>
  </r>
  <r>
    <x v="78"/>
    <x v="279"/>
    <x v="3"/>
    <x v="1"/>
    <x v="0"/>
    <x v="3"/>
    <x v="6"/>
    <x v="764"/>
    <x v="0"/>
    <x v="274"/>
    <x v="0"/>
  </r>
  <r>
    <x v="79"/>
    <x v="192"/>
    <x v="8"/>
    <x v="5"/>
    <x v="1"/>
    <x v="3"/>
    <x v="6"/>
    <x v="379"/>
    <x v="0"/>
    <x v="726"/>
    <x v="1"/>
  </r>
  <r>
    <x v="80"/>
    <x v="212"/>
    <x v="4"/>
    <x v="1"/>
    <x v="0"/>
    <x v="2"/>
    <x v="6"/>
    <x v="399"/>
    <x v="1"/>
    <x v="22"/>
    <x v="0"/>
  </r>
  <r>
    <x v="81"/>
    <x v="316"/>
    <x v="6"/>
    <x v="5"/>
    <x v="1"/>
    <x v="0"/>
    <x v="4"/>
    <x v="754"/>
    <x v="5"/>
    <x v="604"/>
    <x v="1"/>
  </r>
  <r>
    <x v="82"/>
    <x v="60"/>
    <x v="0"/>
    <x v="2"/>
    <x v="1"/>
    <x v="2"/>
    <x v="5"/>
    <x v="917"/>
    <x v="1"/>
    <x v="932"/>
    <x v="1"/>
  </r>
  <r>
    <x v="83"/>
    <x v="68"/>
    <x v="0"/>
    <x v="0"/>
    <x v="0"/>
    <x v="0"/>
    <x v="0"/>
    <x v="948"/>
    <x v="4"/>
    <x v="163"/>
    <x v="0"/>
  </r>
  <r>
    <x v="84"/>
    <x v="93"/>
    <x v="6"/>
    <x v="1"/>
    <x v="0"/>
    <x v="1"/>
    <x v="5"/>
    <x v="564"/>
    <x v="0"/>
    <x v="481"/>
    <x v="0"/>
  </r>
  <r>
    <x v="85"/>
    <x v="178"/>
    <x v="2"/>
    <x v="3"/>
    <x v="1"/>
    <x v="3"/>
    <x v="3"/>
    <x v="367"/>
    <x v="5"/>
    <x v="87"/>
    <x v="1"/>
  </r>
  <r>
    <x v="86"/>
    <x v="233"/>
    <x v="3"/>
    <x v="7"/>
    <x v="1"/>
    <x v="0"/>
    <x v="2"/>
    <x v="787"/>
    <x v="5"/>
    <x v="640"/>
    <x v="1"/>
  </r>
  <r>
    <x v="87"/>
    <x v="209"/>
    <x v="5"/>
    <x v="4"/>
    <x v="1"/>
    <x v="2"/>
    <x v="2"/>
    <x v="259"/>
    <x v="2"/>
    <x v="565"/>
    <x v="1"/>
  </r>
  <r>
    <x v="88"/>
    <x v="271"/>
    <x v="7"/>
    <x v="5"/>
    <x v="1"/>
    <x v="3"/>
    <x v="5"/>
    <x v="552"/>
    <x v="4"/>
    <x v="414"/>
    <x v="1"/>
  </r>
  <r>
    <x v="89"/>
    <x v="282"/>
    <x v="6"/>
    <x v="6"/>
    <x v="1"/>
    <x v="1"/>
    <x v="1"/>
    <x v="368"/>
    <x v="5"/>
    <x v="539"/>
    <x v="1"/>
  </r>
  <r>
    <x v="90"/>
    <x v="89"/>
    <x v="4"/>
    <x v="0"/>
    <x v="0"/>
    <x v="0"/>
    <x v="4"/>
    <x v="642"/>
    <x v="0"/>
    <x v="886"/>
    <x v="0"/>
  </r>
  <r>
    <x v="91"/>
    <x v="313"/>
    <x v="6"/>
    <x v="5"/>
    <x v="1"/>
    <x v="0"/>
    <x v="6"/>
    <x v="240"/>
    <x v="0"/>
    <x v="188"/>
    <x v="1"/>
  </r>
  <r>
    <x v="92"/>
    <x v="264"/>
    <x v="2"/>
    <x v="6"/>
    <x v="1"/>
    <x v="0"/>
    <x v="4"/>
    <x v="185"/>
    <x v="5"/>
    <x v="21"/>
    <x v="1"/>
  </r>
  <r>
    <x v="93"/>
    <x v="310"/>
    <x v="1"/>
    <x v="7"/>
    <x v="1"/>
    <x v="3"/>
    <x v="4"/>
    <x v="916"/>
    <x v="1"/>
    <x v="850"/>
    <x v="1"/>
  </r>
  <r>
    <x v="94"/>
    <x v="321"/>
    <x v="0"/>
    <x v="7"/>
    <x v="1"/>
    <x v="2"/>
    <x v="3"/>
    <x v="104"/>
    <x v="4"/>
    <x v="595"/>
    <x v="1"/>
  </r>
  <r>
    <x v="95"/>
    <x v="284"/>
    <x v="0"/>
    <x v="7"/>
    <x v="1"/>
    <x v="2"/>
    <x v="4"/>
    <x v="506"/>
    <x v="0"/>
    <x v="881"/>
    <x v="1"/>
  </r>
  <r>
    <x v="96"/>
    <x v="230"/>
    <x v="8"/>
    <x v="6"/>
    <x v="1"/>
    <x v="0"/>
    <x v="2"/>
    <x v="221"/>
    <x v="5"/>
    <x v="611"/>
    <x v="1"/>
  </r>
  <r>
    <x v="97"/>
    <x v="154"/>
    <x v="8"/>
    <x v="5"/>
    <x v="1"/>
    <x v="1"/>
    <x v="3"/>
    <x v="38"/>
    <x v="0"/>
    <x v="804"/>
    <x v="1"/>
  </r>
  <r>
    <x v="98"/>
    <x v="310"/>
    <x v="6"/>
    <x v="7"/>
    <x v="1"/>
    <x v="1"/>
    <x v="0"/>
    <x v="36"/>
    <x v="5"/>
    <x v="441"/>
    <x v="1"/>
  </r>
  <r>
    <x v="99"/>
    <x v="27"/>
    <x v="5"/>
    <x v="2"/>
    <x v="1"/>
    <x v="2"/>
    <x v="4"/>
    <x v="165"/>
    <x v="4"/>
    <x v="745"/>
    <x v="1"/>
  </r>
  <r>
    <x v="100"/>
    <x v="229"/>
    <x v="4"/>
    <x v="1"/>
    <x v="0"/>
    <x v="1"/>
    <x v="4"/>
    <x v="873"/>
    <x v="5"/>
    <x v="903"/>
    <x v="0"/>
  </r>
  <r>
    <x v="101"/>
    <x v="96"/>
    <x v="1"/>
    <x v="6"/>
    <x v="1"/>
    <x v="2"/>
    <x v="0"/>
    <x v="297"/>
    <x v="2"/>
    <x v="587"/>
    <x v="1"/>
  </r>
  <r>
    <x v="102"/>
    <x v="46"/>
    <x v="3"/>
    <x v="6"/>
    <x v="1"/>
    <x v="0"/>
    <x v="4"/>
    <x v="947"/>
    <x v="5"/>
    <x v="169"/>
    <x v="1"/>
  </r>
  <r>
    <x v="103"/>
    <x v="73"/>
    <x v="2"/>
    <x v="5"/>
    <x v="1"/>
    <x v="2"/>
    <x v="0"/>
    <x v="571"/>
    <x v="5"/>
    <x v="257"/>
    <x v="1"/>
  </r>
  <r>
    <x v="104"/>
    <x v="122"/>
    <x v="5"/>
    <x v="6"/>
    <x v="1"/>
    <x v="2"/>
    <x v="3"/>
    <x v="442"/>
    <x v="4"/>
    <x v="193"/>
    <x v="1"/>
  </r>
  <r>
    <x v="105"/>
    <x v="263"/>
    <x v="4"/>
    <x v="6"/>
    <x v="1"/>
    <x v="0"/>
    <x v="2"/>
    <x v="568"/>
    <x v="5"/>
    <x v="237"/>
    <x v="1"/>
  </r>
  <r>
    <x v="106"/>
    <x v="126"/>
    <x v="8"/>
    <x v="7"/>
    <x v="1"/>
    <x v="1"/>
    <x v="0"/>
    <x v="515"/>
    <x v="4"/>
    <x v="296"/>
    <x v="1"/>
  </r>
  <r>
    <x v="107"/>
    <x v="170"/>
    <x v="6"/>
    <x v="5"/>
    <x v="1"/>
    <x v="2"/>
    <x v="1"/>
    <x v="759"/>
    <x v="2"/>
    <x v="570"/>
    <x v="1"/>
  </r>
  <r>
    <x v="108"/>
    <x v="305"/>
    <x v="2"/>
    <x v="7"/>
    <x v="1"/>
    <x v="2"/>
    <x v="0"/>
    <x v="298"/>
    <x v="4"/>
    <x v="605"/>
    <x v="1"/>
  </r>
  <r>
    <x v="109"/>
    <x v="253"/>
    <x v="8"/>
    <x v="1"/>
    <x v="0"/>
    <x v="0"/>
    <x v="4"/>
    <x v="359"/>
    <x v="0"/>
    <x v="436"/>
    <x v="0"/>
  </r>
  <r>
    <x v="110"/>
    <x v="315"/>
    <x v="6"/>
    <x v="0"/>
    <x v="0"/>
    <x v="1"/>
    <x v="6"/>
    <x v="897"/>
    <x v="4"/>
    <x v="632"/>
    <x v="0"/>
  </r>
  <r>
    <x v="111"/>
    <x v="63"/>
    <x v="2"/>
    <x v="1"/>
    <x v="0"/>
    <x v="2"/>
    <x v="6"/>
    <x v="943"/>
    <x v="2"/>
    <x v="75"/>
    <x v="0"/>
  </r>
  <r>
    <x v="112"/>
    <x v="30"/>
    <x v="3"/>
    <x v="0"/>
    <x v="0"/>
    <x v="0"/>
    <x v="3"/>
    <x v="896"/>
    <x v="3"/>
    <x v="83"/>
    <x v="0"/>
  </r>
  <r>
    <x v="113"/>
    <x v="243"/>
    <x v="4"/>
    <x v="7"/>
    <x v="1"/>
    <x v="2"/>
    <x v="5"/>
    <x v="423"/>
    <x v="5"/>
    <x v="162"/>
    <x v="1"/>
  </r>
  <r>
    <x v="114"/>
    <x v="48"/>
    <x v="2"/>
    <x v="1"/>
    <x v="0"/>
    <x v="3"/>
    <x v="3"/>
    <x v="780"/>
    <x v="4"/>
    <x v="535"/>
    <x v="0"/>
  </r>
  <r>
    <x v="115"/>
    <x v="190"/>
    <x v="1"/>
    <x v="5"/>
    <x v="1"/>
    <x v="0"/>
    <x v="5"/>
    <x v="477"/>
    <x v="5"/>
    <x v="210"/>
    <x v="1"/>
  </r>
  <r>
    <x v="116"/>
    <x v="115"/>
    <x v="5"/>
    <x v="4"/>
    <x v="1"/>
    <x v="1"/>
    <x v="6"/>
    <x v="494"/>
    <x v="1"/>
    <x v="271"/>
    <x v="1"/>
  </r>
  <r>
    <x v="117"/>
    <x v="217"/>
    <x v="0"/>
    <x v="7"/>
    <x v="1"/>
    <x v="1"/>
    <x v="6"/>
    <x v="201"/>
    <x v="0"/>
    <x v="406"/>
    <x v="1"/>
  </r>
  <r>
    <x v="118"/>
    <x v="39"/>
    <x v="1"/>
    <x v="0"/>
    <x v="0"/>
    <x v="1"/>
    <x v="0"/>
    <x v="581"/>
    <x v="0"/>
    <x v="807"/>
    <x v="0"/>
  </r>
  <r>
    <x v="119"/>
    <x v="222"/>
    <x v="1"/>
    <x v="2"/>
    <x v="1"/>
    <x v="1"/>
    <x v="2"/>
    <x v="178"/>
    <x v="1"/>
    <x v="15"/>
    <x v="1"/>
  </r>
  <r>
    <x v="120"/>
    <x v="101"/>
    <x v="5"/>
    <x v="0"/>
    <x v="0"/>
    <x v="2"/>
    <x v="1"/>
    <x v="339"/>
    <x v="1"/>
    <x v="658"/>
    <x v="0"/>
  </r>
  <r>
    <x v="121"/>
    <x v="230"/>
    <x v="0"/>
    <x v="2"/>
    <x v="1"/>
    <x v="2"/>
    <x v="3"/>
    <x v="859"/>
    <x v="4"/>
    <x v="668"/>
    <x v="1"/>
  </r>
  <r>
    <x v="122"/>
    <x v="139"/>
    <x v="1"/>
    <x v="6"/>
    <x v="1"/>
    <x v="1"/>
    <x v="4"/>
    <x v="204"/>
    <x v="1"/>
    <x v="792"/>
    <x v="1"/>
  </r>
  <r>
    <x v="123"/>
    <x v="169"/>
    <x v="2"/>
    <x v="1"/>
    <x v="0"/>
    <x v="1"/>
    <x v="5"/>
    <x v="77"/>
    <x v="3"/>
    <x v="922"/>
    <x v="0"/>
  </r>
  <r>
    <x v="124"/>
    <x v="311"/>
    <x v="2"/>
    <x v="2"/>
    <x v="1"/>
    <x v="1"/>
    <x v="4"/>
    <x v="73"/>
    <x v="5"/>
    <x v="18"/>
    <x v="1"/>
  </r>
  <r>
    <x v="125"/>
    <x v="86"/>
    <x v="2"/>
    <x v="0"/>
    <x v="0"/>
    <x v="2"/>
    <x v="2"/>
    <x v="937"/>
    <x v="5"/>
    <x v="141"/>
    <x v="0"/>
  </r>
  <r>
    <x v="126"/>
    <x v="7"/>
    <x v="0"/>
    <x v="6"/>
    <x v="1"/>
    <x v="1"/>
    <x v="5"/>
    <x v="507"/>
    <x v="2"/>
    <x v="876"/>
    <x v="1"/>
  </r>
  <r>
    <x v="127"/>
    <x v="334"/>
    <x v="1"/>
    <x v="4"/>
    <x v="1"/>
    <x v="1"/>
    <x v="3"/>
    <x v="413"/>
    <x v="1"/>
    <x v="471"/>
    <x v="1"/>
  </r>
  <r>
    <x v="128"/>
    <x v="170"/>
    <x v="6"/>
    <x v="5"/>
    <x v="1"/>
    <x v="3"/>
    <x v="0"/>
    <x v="815"/>
    <x v="1"/>
    <x v="578"/>
    <x v="1"/>
  </r>
  <r>
    <x v="129"/>
    <x v="259"/>
    <x v="0"/>
    <x v="5"/>
    <x v="1"/>
    <x v="3"/>
    <x v="4"/>
    <x v="836"/>
    <x v="3"/>
    <x v="662"/>
    <x v="1"/>
  </r>
  <r>
    <x v="130"/>
    <x v="181"/>
    <x v="2"/>
    <x v="5"/>
    <x v="1"/>
    <x v="1"/>
    <x v="2"/>
    <x v="340"/>
    <x v="0"/>
    <x v="680"/>
    <x v="1"/>
  </r>
  <r>
    <x v="131"/>
    <x v="326"/>
    <x v="5"/>
    <x v="2"/>
    <x v="1"/>
    <x v="0"/>
    <x v="3"/>
    <x v="686"/>
    <x v="0"/>
    <x v="920"/>
    <x v="1"/>
  </r>
  <r>
    <x v="132"/>
    <x v="181"/>
    <x v="1"/>
    <x v="4"/>
    <x v="1"/>
    <x v="1"/>
    <x v="6"/>
    <x v="772"/>
    <x v="5"/>
    <x v="996"/>
    <x v="1"/>
  </r>
  <r>
    <x v="133"/>
    <x v="143"/>
    <x v="1"/>
    <x v="2"/>
    <x v="1"/>
    <x v="3"/>
    <x v="6"/>
    <x v="640"/>
    <x v="5"/>
    <x v="714"/>
    <x v="1"/>
  </r>
  <r>
    <x v="134"/>
    <x v="84"/>
    <x v="8"/>
    <x v="1"/>
    <x v="0"/>
    <x v="0"/>
    <x v="3"/>
    <x v="135"/>
    <x v="4"/>
    <x v="275"/>
    <x v="0"/>
  </r>
  <r>
    <x v="135"/>
    <x v="148"/>
    <x v="8"/>
    <x v="2"/>
    <x v="1"/>
    <x v="0"/>
    <x v="3"/>
    <x v="878"/>
    <x v="3"/>
    <x v="868"/>
    <x v="1"/>
  </r>
  <r>
    <x v="136"/>
    <x v="55"/>
    <x v="3"/>
    <x v="4"/>
    <x v="1"/>
    <x v="1"/>
    <x v="3"/>
    <x v="531"/>
    <x v="2"/>
    <x v="41"/>
    <x v="1"/>
  </r>
  <r>
    <x v="137"/>
    <x v="111"/>
    <x v="6"/>
    <x v="4"/>
    <x v="1"/>
    <x v="3"/>
    <x v="5"/>
    <x v="296"/>
    <x v="2"/>
    <x v="222"/>
    <x v="1"/>
  </r>
  <r>
    <x v="138"/>
    <x v="46"/>
    <x v="6"/>
    <x v="1"/>
    <x v="0"/>
    <x v="3"/>
    <x v="3"/>
    <x v="428"/>
    <x v="3"/>
    <x v="888"/>
    <x v="0"/>
  </r>
  <r>
    <x v="139"/>
    <x v="256"/>
    <x v="4"/>
    <x v="4"/>
    <x v="1"/>
    <x v="0"/>
    <x v="4"/>
    <x v="37"/>
    <x v="2"/>
    <x v="247"/>
    <x v="1"/>
  </r>
  <r>
    <x v="140"/>
    <x v="4"/>
    <x v="6"/>
    <x v="0"/>
    <x v="0"/>
    <x v="1"/>
    <x v="2"/>
    <x v="120"/>
    <x v="0"/>
    <x v="214"/>
    <x v="0"/>
  </r>
  <r>
    <x v="141"/>
    <x v="83"/>
    <x v="8"/>
    <x v="4"/>
    <x v="1"/>
    <x v="2"/>
    <x v="5"/>
    <x v="769"/>
    <x v="2"/>
    <x v="127"/>
    <x v="1"/>
  </r>
  <r>
    <x v="142"/>
    <x v="157"/>
    <x v="0"/>
    <x v="5"/>
    <x v="1"/>
    <x v="2"/>
    <x v="3"/>
    <x v="0"/>
    <x v="2"/>
    <x v="846"/>
    <x v="1"/>
  </r>
  <r>
    <x v="143"/>
    <x v="293"/>
    <x v="6"/>
    <x v="0"/>
    <x v="0"/>
    <x v="3"/>
    <x v="1"/>
    <x v="419"/>
    <x v="3"/>
    <x v="511"/>
    <x v="0"/>
  </r>
  <r>
    <x v="144"/>
    <x v="20"/>
    <x v="8"/>
    <x v="0"/>
    <x v="0"/>
    <x v="2"/>
    <x v="1"/>
    <x v="521"/>
    <x v="3"/>
    <x v="673"/>
    <x v="0"/>
  </r>
  <r>
    <x v="145"/>
    <x v="301"/>
    <x v="3"/>
    <x v="1"/>
    <x v="0"/>
    <x v="3"/>
    <x v="2"/>
    <x v="998"/>
    <x v="2"/>
    <x v="230"/>
    <x v="0"/>
  </r>
  <r>
    <x v="146"/>
    <x v="0"/>
    <x v="1"/>
    <x v="3"/>
    <x v="1"/>
    <x v="3"/>
    <x v="6"/>
    <x v="974"/>
    <x v="1"/>
    <x v="753"/>
    <x v="1"/>
  </r>
  <r>
    <x v="147"/>
    <x v="122"/>
    <x v="6"/>
    <x v="3"/>
    <x v="1"/>
    <x v="3"/>
    <x v="0"/>
    <x v="225"/>
    <x v="3"/>
    <x v="755"/>
    <x v="1"/>
  </r>
  <r>
    <x v="148"/>
    <x v="215"/>
    <x v="3"/>
    <x v="4"/>
    <x v="1"/>
    <x v="2"/>
    <x v="0"/>
    <x v="316"/>
    <x v="4"/>
    <x v="304"/>
    <x v="1"/>
  </r>
  <r>
    <x v="149"/>
    <x v="11"/>
    <x v="1"/>
    <x v="0"/>
    <x v="0"/>
    <x v="3"/>
    <x v="6"/>
    <x v="315"/>
    <x v="4"/>
    <x v="417"/>
    <x v="0"/>
  </r>
  <r>
    <x v="150"/>
    <x v="320"/>
    <x v="5"/>
    <x v="3"/>
    <x v="1"/>
    <x v="0"/>
    <x v="5"/>
    <x v="231"/>
    <x v="0"/>
    <x v="207"/>
    <x v="1"/>
  </r>
  <r>
    <x v="151"/>
    <x v="42"/>
    <x v="5"/>
    <x v="3"/>
    <x v="1"/>
    <x v="1"/>
    <x v="5"/>
    <x v="2"/>
    <x v="2"/>
    <x v="973"/>
    <x v="1"/>
  </r>
  <r>
    <x v="152"/>
    <x v="30"/>
    <x v="1"/>
    <x v="4"/>
    <x v="1"/>
    <x v="1"/>
    <x v="5"/>
    <x v="728"/>
    <x v="1"/>
    <x v="652"/>
    <x v="1"/>
  </r>
  <r>
    <x v="153"/>
    <x v="71"/>
    <x v="6"/>
    <x v="3"/>
    <x v="1"/>
    <x v="3"/>
    <x v="0"/>
    <x v="964"/>
    <x v="0"/>
    <x v="924"/>
    <x v="1"/>
  </r>
  <r>
    <x v="154"/>
    <x v="202"/>
    <x v="4"/>
    <x v="2"/>
    <x v="1"/>
    <x v="1"/>
    <x v="1"/>
    <x v="224"/>
    <x v="2"/>
    <x v="293"/>
    <x v="1"/>
  </r>
  <r>
    <x v="155"/>
    <x v="277"/>
    <x v="8"/>
    <x v="6"/>
    <x v="1"/>
    <x v="2"/>
    <x v="0"/>
    <x v="653"/>
    <x v="3"/>
    <x v="779"/>
    <x v="1"/>
  </r>
  <r>
    <x v="156"/>
    <x v="66"/>
    <x v="0"/>
    <x v="1"/>
    <x v="0"/>
    <x v="2"/>
    <x v="4"/>
    <x v="740"/>
    <x v="4"/>
    <x v="763"/>
    <x v="0"/>
  </r>
  <r>
    <x v="157"/>
    <x v="260"/>
    <x v="0"/>
    <x v="6"/>
    <x v="1"/>
    <x v="1"/>
    <x v="3"/>
    <x v="855"/>
    <x v="5"/>
    <x v="689"/>
    <x v="1"/>
  </r>
  <r>
    <x v="158"/>
    <x v="230"/>
    <x v="2"/>
    <x v="4"/>
    <x v="1"/>
    <x v="2"/>
    <x v="5"/>
    <x v="424"/>
    <x v="1"/>
    <x v="957"/>
    <x v="1"/>
  </r>
  <r>
    <x v="159"/>
    <x v="43"/>
    <x v="1"/>
    <x v="5"/>
    <x v="1"/>
    <x v="1"/>
    <x v="1"/>
    <x v="314"/>
    <x v="5"/>
    <x v="398"/>
    <x v="1"/>
  </r>
  <r>
    <x v="160"/>
    <x v="110"/>
    <x v="0"/>
    <x v="1"/>
    <x v="0"/>
    <x v="1"/>
    <x v="2"/>
    <x v="334"/>
    <x v="4"/>
    <x v="117"/>
    <x v="0"/>
  </r>
  <r>
    <x v="161"/>
    <x v="198"/>
    <x v="6"/>
    <x v="4"/>
    <x v="1"/>
    <x v="1"/>
    <x v="2"/>
    <x v="710"/>
    <x v="5"/>
    <x v="671"/>
    <x v="1"/>
  </r>
  <r>
    <x v="162"/>
    <x v="221"/>
    <x v="4"/>
    <x v="0"/>
    <x v="0"/>
    <x v="3"/>
    <x v="3"/>
    <x v="818"/>
    <x v="3"/>
    <x v="722"/>
    <x v="0"/>
  </r>
  <r>
    <x v="163"/>
    <x v="51"/>
    <x v="1"/>
    <x v="5"/>
    <x v="1"/>
    <x v="1"/>
    <x v="1"/>
    <x v="171"/>
    <x v="2"/>
    <x v="589"/>
    <x v="1"/>
  </r>
  <r>
    <x v="164"/>
    <x v="324"/>
    <x v="4"/>
    <x v="6"/>
    <x v="1"/>
    <x v="3"/>
    <x v="0"/>
    <x v="376"/>
    <x v="3"/>
    <x v="204"/>
    <x v="1"/>
  </r>
  <r>
    <x v="165"/>
    <x v="97"/>
    <x v="6"/>
    <x v="4"/>
    <x v="1"/>
    <x v="1"/>
    <x v="0"/>
    <x v="905"/>
    <x v="5"/>
    <x v="515"/>
    <x v="1"/>
  </r>
  <r>
    <x v="166"/>
    <x v="295"/>
    <x v="0"/>
    <x v="0"/>
    <x v="0"/>
    <x v="1"/>
    <x v="4"/>
    <x v="811"/>
    <x v="3"/>
    <x v="303"/>
    <x v="0"/>
  </r>
  <r>
    <x v="167"/>
    <x v="44"/>
    <x v="0"/>
    <x v="1"/>
    <x v="0"/>
    <x v="1"/>
    <x v="4"/>
    <x v="985"/>
    <x v="4"/>
    <x v="438"/>
    <x v="0"/>
  </r>
  <r>
    <x v="168"/>
    <x v="55"/>
    <x v="2"/>
    <x v="1"/>
    <x v="0"/>
    <x v="2"/>
    <x v="0"/>
    <x v="753"/>
    <x v="1"/>
    <x v="650"/>
    <x v="0"/>
  </r>
  <r>
    <x v="169"/>
    <x v="312"/>
    <x v="0"/>
    <x v="7"/>
    <x v="1"/>
    <x v="3"/>
    <x v="2"/>
    <x v="401"/>
    <x v="3"/>
    <x v="741"/>
    <x v="1"/>
  </r>
  <r>
    <x v="170"/>
    <x v="23"/>
    <x v="1"/>
    <x v="0"/>
    <x v="0"/>
    <x v="3"/>
    <x v="5"/>
    <x v="580"/>
    <x v="4"/>
    <x v="223"/>
    <x v="0"/>
  </r>
  <r>
    <x v="171"/>
    <x v="269"/>
    <x v="6"/>
    <x v="2"/>
    <x v="1"/>
    <x v="1"/>
    <x v="2"/>
    <x v="647"/>
    <x v="1"/>
    <x v="411"/>
    <x v="1"/>
  </r>
  <r>
    <x v="172"/>
    <x v="238"/>
    <x v="5"/>
    <x v="3"/>
    <x v="1"/>
    <x v="1"/>
    <x v="4"/>
    <x v="85"/>
    <x v="2"/>
    <x v="258"/>
    <x v="1"/>
  </r>
  <r>
    <x v="173"/>
    <x v="7"/>
    <x v="6"/>
    <x v="5"/>
    <x v="1"/>
    <x v="2"/>
    <x v="3"/>
    <x v="535"/>
    <x v="5"/>
    <x v="192"/>
    <x v="1"/>
  </r>
  <r>
    <x v="174"/>
    <x v="103"/>
    <x v="1"/>
    <x v="0"/>
    <x v="0"/>
    <x v="2"/>
    <x v="0"/>
    <x v="708"/>
    <x v="2"/>
    <x v="782"/>
    <x v="0"/>
  </r>
  <r>
    <x v="175"/>
    <x v="329"/>
    <x v="1"/>
    <x v="7"/>
    <x v="1"/>
    <x v="2"/>
    <x v="4"/>
    <x v="156"/>
    <x v="0"/>
    <x v="896"/>
    <x v="1"/>
  </r>
  <r>
    <x v="176"/>
    <x v="234"/>
    <x v="2"/>
    <x v="3"/>
    <x v="1"/>
    <x v="3"/>
    <x v="4"/>
    <x v="781"/>
    <x v="4"/>
    <x v="372"/>
    <x v="1"/>
  </r>
  <r>
    <x v="177"/>
    <x v="166"/>
    <x v="2"/>
    <x v="3"/>
    <x v="1"/>
    <x v="3"/>
    <x v="5"/>
    <x v="575"/>
    <x v="1"/>
    <x v="746"/>
    <x v="1"/>
  </r>
  <r>
    <x v="178"/>
    <x v="192"/>
    <x v="0"/>
    <x v="4"/>
    <x v="1"/>
    <x v="3"/>
    <x v="0"/>
    <x v="953"/>
    <x v="3"/>
    <x v="887"/>
    <x v="1"/>
  </r>
  <r>
    <x v="179"/>
    <x v="279"/>
    <x v="3"/>
    <x v="3"/>
    <x v="1"/>
    <x v="1"/>
    <x v="5"/>
    <x v="43"/>
    <x v="2"/>
    <x v="832"/>
    <x v="1"/>
  </r>
  <r>
    <x v="180"/>
    <x v="116"/>
    <x v="6"/>
    <x v="2"/>
    <x v="1"/>
    <x v="3"/>
    <x v="0"/>
    <x v="272"/>
    <x v="1"/>
    <x v="172"/>
    <x v="1"/>
  </r>
  <r>
    <x v="181"/>
    <x v="51"/>
    <x v="6"/>
    <x v="1"/>
    <x v="0"/>
    <x v="0"/>
    <x v="5"/>
    <x v="593"/>
    <x v="4"/>
    <x v="948"/>
    <x v="0"/>
  </r>
  <r>
    <x v="182"/>
    <x v="198"/>
    <x v="3"/>
    <x v="7"/>
    <x v="1"/>
    <x v="0"/>
    <x v="2"/>
    <x v="309"/>
    <x v="0"/>
    <x v="377"/>
    <x v="1"/>
  </r>
  <r>
    <x v="183"/>
    <x v="13"/>
    <x v="2"/>
    <x v="3"/>
    <x v="1"/>
    <x v="2"/>
    <x v="3"/>
    <x v="713"/>
    <x v="2"/>
    <x v="336"/>
    <x v="1"/>
  </r>
  <r>
    <x v="184"/>
    <x v="25"/>
    <x v="0"/>
    <x v="4"/>
    <x v="1"/>
    <x v="3"/>
    <x v="3"/>
    <x v="760"/>
    <x v="5"/>
    <x v="61"/>
    <x v="1"/>
  </r>
  <r>
    <x v="185"/>
    <x v="71"/>
    <x v="3"/>
    <x v="2"/>
    <x v="1"/>
    <x v="0"/>
    <x v="0"/>
    <x v="106"/>
    <x v="1"/>
    <x v="503"/>
    <x v="1"/>
  </r>
  <r>
    <x v="186"/>
    <x v="200"/>
    <x v="0"/>
    <x v="6"/>
    <x v="1"/>
    <x v="2"/>
    <x v="1"/>
    <x v="512"/>
    <x v="5"/>
    <x v="99"/>
    <x v="1"/>
  </r>
  <r>
    <x v="187"/>
    <x v="339"/>
    <x v="0"/>
    <x v="1"/>
    <x v="0"/>
    <x v="3"/>
    <x v="6"/>
    <x v="509"/>
    <x v="1"/>
    <x v="240"/>
    <x v="0"/>
  </r>
  <r>
    <x v="188"/>
    <x v="142"/>
    <x v="0"/>
    <x v="1"/>
    <x v="0"/>
    <x v="1"/>
    <x v="4"/>
    <x v="374"/>
    <x v="1"/>
    <x v="310"/>
    <x v="0"/>
  </r>
  <r>
    <x v="189"/>
    <x v="13"/>
    <x v="8"/>
    <x v="7"/>
    <x v="1"/>
    <x v="0"/>
    <x v="4"/>
    <x v="931"/>
    <x v="4"/>
    <x v="802"/>
    <x v="1"/>
  </r>
  <r>
    <x v="190"/>
    <x v="173"/>
    <x v="1"/>
    <x v="1"/>
    <x v="0"/>
    <x v="1"/>
    <x v="0"/>
    <x v="830"/>
    <x v="4"/>
    <x v="863"/>
    <x v="0"/>
  </r>
  <r>
    <x v="191"/>
    <x v="288"/>
    <x v="0"/>
    <x v="3"/>
    <x v="1"/>
    <x v="3"/>
    <x v="5"/>
    <x v="693"/>
    <x v="4"/>
    <x v="290"/>
    <x v="1"/>
  </r>
  <r>
    <x v="192"/>
    <x v="6"/>
    <x v="8"/>
    <x v="4"/>
    <x v="1"/>
    <x v="0"/>
    <x v="1"/>
    <x v="712"/>
    <x v="3"/>
    <x v="845"/>
    <x v="1"/>
  </r>
  <r>
    <x v="193"/>
    <x v="2"/>
    <x v="2"/>
    <x v="1"/>
    <x v="0"/>
    <x v="3"/>
    <x v="2"/>
    <x v="467"/>
    <x v="1"/>
    <x v="840"/>
    <x v="0"/>
  </r>
  <r>
    <x v="194"/>
    <x v="101"/>
    <x v="3"/>
    <x v="1"/>
    <x v="0"/>
    <x v="1"/>
    <x v="5"/>
    <x v="921"/>
    <x v="2"/>
    <x v="761"/>
    <x v="0"/>
  </r>
  <r>
    <x v="195"/>
    <x v="220"/>
    <x v="1"/>
    <x v="6"/>
    <x v="1"/>
    <x v="0"/>
    <x v="5"/>
    <x v="688"/>
    <x v="5"/>
    <x v="135"/>
    <x v="1"/>
  </r>
  <r>
    <x v="196"/>
    <x v="337"/>
    <x v="5"/>
    <x v="6"/>
    <x v="1"/>
    <x v="1"/>
    <x v="0"/>
    <x v="727"/>
    <x v="4"/>
    <x v="687"/>
    <x v="1"/>
  </r>
  <r>
    <x v="197"/>
    <x v="221"/>
    <x v="3"/>
    <x v="5"/>
    <x v="1"/>
    <x v="3"/>
    <x v="0"/>
    <x v="865"/>
    <x v="4"/>
    <x v="935"/>
    <x v="1"/>
  </r>
  <r>
    <x v="198"/>
    <x v="254"/>
    <x v="1"/>
    <x v="2"/>
    <x v="1"/>
    <x v="3"/>
    <x v="4"/>
    <x v="285"/>
    <x v="5"/>
    <x v="682"/>
    <x v="1"/>
  </r>
  <r>
    <x v="199"/>
    <x v="271"/>
    <x v="5"/>
    <x v="3"/>
    <x v="1"/>
    <x v="1"/>
    <x v="0"/>
    <x v="813"/>
    <x v="5"/>
    <x v="324"/>
    <x v="1"/>
  </r>
  <r>
    <x v="200"/>
    <x v="210"/>
    <x v="3"/>
    <x v="1"/>
    <x v="0"/>
    <x v="0"/>
    <x v="0"/>
    <x v="189"/>
    <x v="1"/>
    <x v="512"/>
    <x v="0"/>
  </r>
  <r>
    <x v="201"/>
    <x v="14"/>
    <x v="1"/>
    <x v="0"/>
    <x v="0"/>
    <x v="1"/>
    <x v="0"/>
    <x v="354"/>
    <x v="4"/>
    <x v="653"/>
    <x v="0"/>
  </r>
  <r>
    <x v="202"/>
    <x v="178"/>
    <x v="3"/>
    <x v="1"/>
    <x v="0"/>
    <x v="3"/>
    <x v="4"/>
    <x v="345"/>
    <x v="5"/>
    <x v="524"/>
    <x v="0"/>
  </r>
  <r>
    <x v="203"/>
    <x v="108"/>
    <x v="3"/>
    <x v="4"/>
    <x v="1"/>
    <x v="1"/>
    <x v="2"/>
    <x v="979"/>
    <x v="3"/>
    <x v="107"/>
    <x v="1"/>
  </r>
  <r>
    <x v="204"/>
    <x v="25"/>
    <x v="5"/>
    <x v="5"/>
    <x v="1"/>
    <x v="3"/>
    <x v="2"/>
    <x v="860"/>
    <x v="3"/>
    <x v="302"/>
    <x v="1"/>
  </r>
  <r>
    <x v="205"/>
    <x v="188"/>
    <x v="3"/>
    <x v="2"/>
    <x v="1"/>
    <x v="1"/>
    <x v="6"/>
    <x v="697"/>
    <x v="4"/>
    <x v="796"/>
    <x v="1"/>
  </r>
  <r>
    <x v="206"/>
    <x v="35"/>
    <x v="3"/>
    <x v="0"/>
    <x v="0"/>
    <x v="0"/>
    <x v="6"/>
    <x v="725"/>
    <x v="5"/>
    <x v="848"/>
    <x v="0"/>
  </r>
  <r>
    <x v="207"/>
    <x v="253"/>
    <x v="5"/>
    <x v="5"/>
    <x v="1"/>
    <x v="0"/>
    <x v="0"/>
    <x v="549"/>
    <x v="1"/>
    <x v="126"/>
    <x v="1"/>
  </r>
  <r>
    <x v="208"/>
    <x v="213"/>
    <x v="2"/>
    <x v="7"/>
    <x v="1"/>
    <x v="1"/>
    <x v="6"/>
    <x v="945"/>
    <x v="1"/>
    <x v="942"/>
    <x v="1"/>
  </r>
  <r>
    <x v="209"/>
    <x v="78"/>
    <x v="0"/>
    <x v="2"/>
    <x v="1"/>
    <x v="1"/>
    <x v="4"/>
    <x v="493"/>
    <x v="1"/>
    <x v="322"/>
    <x v="1"/>
  </r>
  <r>
    <x v="210"/>
    <x v="115"/>
    <x v="6"/>
    <x v="1"/>
    <x v="0"/>
    <x v="0"/>
    <x v="2"/>
    <x v="388"/>
    <x v="0"/>
    <x v="661"/>
    <x v="0"/>
  </r>
  <r>
    <x v="211"/>
    <x v="276"/>
    <x v="4"/>
    <x v="1"/>
    <x v="0"/>
    <x v="3"/>
    <x v="5"/>
    <x v="152"/>
    <x v="4"/>
    <x v="998"/>
    <x v="0"/>
  </r>
  <r>
    <x v="212"/>
    <x v="22"/>
    <x v="8"/>
    <x v="2"/>
    <x v="1"/>
    <x v="0"/>
    <x v="2"/>
    <x v="785"/>
    <x v="1"/>
    <x v="808"/>
    <x v="1"/>
  </r>
  <r>
    <x v="213"/>
    <x v="133"/>
    <x v="4"/>
    <x v="1"/>
    <x v="0"/>
    <x v="3"/>
    <x v="2"/>
    <x v="732"/>
    <x v="3"/>
    <x v="936"/>
    <x v="0"/>
  </r>
  <r>
    <x v="214"/>
    <x v="12"/>
    <x v="4"/>
    <x v="3"/>
    <x v="1"/>
    <x v="1"/>
    <x v="4"/>
    <x v="390"/>
    <x v="5"/>
    <x v="305"/>
    <x v="1"/>
  </r>
  <r>
    <x v="215"/>
    <x v="196"/>
    <x v="1"/>
    <x v="2"/>
    <x v="1"/>
    <x v="1"/>
    <x v="6"/>
    <x v="27"/>
    <x v="2"/>
    <x v="844"/>
    <x v="1"/>
  </r>
  <r>
    <x v="216"/>
    <x v="22"/>
    <x v="0"/>
    <x v="5"/>
    <x v="1"/>
    <x v="3"/>
    <x v="5"/>
    <x v="844"/>
    <x v="2"/>
    <x v="119"/>
    <x v="1"/>
  </r>
  <r>
    <x v="217"/>
    <x v="62"/>
    <x v="1"/>
    <x v="2"/>
    <x v="1"/>
    <x v="1"/>
    <x v="4"/>
    <x v="13"/>
    <x v="1"/>
    <x v="701"/>
    <x v="1"/>
  </r>
  <r>
    <x v="218"/>
    <x v="61"/>
    <x v="0"/>
    <x v="0"/>
    <x v="0"/>
    <x v="3"/>
    <x v="0"/>
    <x v="699"/>
    <x v="2"/>
    <x v="736"/>
    <x v="0"/>
  </r>
  <r>
    <x v="219"/>
    <x v="215"/>
    <x v="5"/>
    <x v="1"/>
    <x v="0"/>
    <x v="2"/>
    <x v="3"/>
    <x v="971"/>
    <x v="2"/>
    <x v="679"/>
    <x v="0"/>
  </r>
  <r>
    <x v="220"/>
    <x v="99"/>
    <x v="5"/>
    <x v="3"/>
    <x v="1"/>
    <x v="0"/>
    <x v="2"/>
    <x v="444"/>
    <x v="0"/>
    <x v="246"/>
    <x v="1"/>
  </r>
  <r>
    <x v="221"/>
    <x v="134"/>
    <x v="6"/>
    <x v="3"/>
    <x v="1"/>
    <x v="2"/>
    <x v="3"/>
    <x v="236"/>
    <x v="3"/>
    <x v="861"/>
    <x v="1"/>
  </r>
  <r>
    <x v="222"/>
    <x v="101"/>
    <x v="0"/>
    <x v="7"/>
    <x v="1"/>
    <x v="3"/>
    <x v="4"/>
    <x v="701"/>
    <x v="3"/>
    <x v="159"/>
    <x v="1"/>
  </r>
  <r>
    <x v="223"/>
    <x v="211"/>
    <x v="3"/>
    <x v="5"/>
    <x v="1"/>
    <x v="0"/>
    <x v="4"/>
    <x v="820"/>
    <x v="0"/>
    <x v="49"/>
    <x v="1"/>
  </r>
  <r>
    <x v="224"/>
    <x v="101"/>
    <x v="2"/>
    <x v="6"/>
    <x v="1"/>
    <x v="3"/>
    <x v="4"/>
    <x v="536"/>
    <x v="0"/>
    <x v="709"/>
    <x v="1"/>
  </r>
  <r>
    <x v="225"/>
    <x v="30"/>
    <x v="6"/>
    <x v="6"/>
    <x v="1"/>
    <x v="0"/>
    <x v="3"/>
    <x v="965"/>
    <x v="2"/>
    <x v="490"/>
    <x v="1"/>
  </r>
  <r>
    <x v="226"/>
    <x v="101"/>
    <x v="6"/>
    <x v="2"/>
    <x v="1"/>
    <x v="0"/>
    <x v="4"/>
    <x v="49"/>
    <x v="4"/>
    <x v="835"/>
    <x v="1"/>
  </r>
  <r>
    <x v="227"/>
    <x v="245"/>
    <x v="3"/>
    <x v="7"/>
    <x v="1"/>
    <x v="0"/>
    <x v="0"/>
    <x v="503"/>
    <x v="5"/>
    <x v="386"/>
    <x v="1"/>
  </r>
  <r>
    <x v="228"/>
    <x v="218"/>
    <x v="2"/>
    <x v="4"/>
    <x v="1"/>
    <x v="0"/>
    <x v="4"/>
    <x v="718"/>
    <x v="5"/>
    <x v="157"/>
    <x v="1"/>
  </r>
  <r>
    <x v="229"/>
    <x v="75"/>
    <x v="1"/>
    <x v="2"/>
    <x v="1"/>
    <x v="3"/>
    <x v="1"/>
    <x v="867"/>
    <x v="2"/>
    <x v="825"/>
    <x v="1"/>
  </r>
  <r>
    <x v="230"/>
    <x v="38"/>
    <x v="2"/>
    <x v="7"/>
    <x v="1"/>
    <x v="0"/>
    <x v="6"/>
    <x v="168"/>
    <x v="5"/>
    <x v="563"/>
    <x v="1"/>
  </r>
  <r>
    <x v="231"/>
    <x v="91"/>
    <x v="1"/>
    <x v="5"/>
    <x v="1"/>
    <x v="0"/>
    <x v="3"/>
    <x v="799"/>
    <x v="0"/>
    <x v="178"/>
    <x v="1"/>
  </r>
  <r>
    <x v="232"/>
    <x v="5"/>
    <x v="5"/>
    <x v="5"/>
    <x v="1"/>
    <x v="2"/>
    <x v="1"/>
    <x v="542"/>
    <x v="3"/>
    <x v="715"/>
    <x v="1"/>
  </r>
  <r>
    <x v="233"/>
    <x v="166"/>
    <x v="4"/>
    <x v="5"/>
    <x v="1"/>
    <x v="1"/>
    <x v="4"/>
    <x v="402"/>
    <x v="5"/>
    <x v="526"/>
    <x v="1"/>
  </r>
  <r>
    <x v="234"/>
    <x v="260"/>
    <x v="5"/>
    <x v="5"/>
    <x v="1"/>
    <x v="1"/>
    <x v="0"/>
    <x v="123"/>
    <x v="2"/>
    <x v="623"/>
    <x v="1"/>
  </r>
  <r>
    <x v="235"/>
    <x v="296"/>
    <x v="5"/>
    <x v="5"/>
    <x v="1"/>
    <x v="2"/>
    <x v="2"/>
    <x v="871"/>
    <x v="4"/>
    <x v="474"/>
    <x v="1"/>
  </r>
  <r>
    <x v="236"/>
    <x v="209"/>
    <x v="4"/>
    <x v="7"/>
    <x v="1"/>
    <x v="2"/>
    <x v="5"/>
    <x v="143"/>
    <x v="2"/>
    <x v="819"/>
    <x v="1"/>
  </r>
  <r>
    <x v="237"/>
    <x v="291"/>
    <x v="2"/>
    <x v="7"/>
    <x v="1"/>
    <x v="3"/>
    <x v="6"/>
    <x v="320"/>
    <x v="1"/>
    <x v="820"/>
    <x v="1"/>
  </r>
  <r>
    <x v="238"/>
    <x v="339"/>
    <x v="6"/>
    <x v="3"/>
    <x v="1"/>
    <x v="3"/>
    <x v="5"/>
    <x v="306"/>
    <x v="2"/>
    <x v="705"/>
    <x v="1"/>
  </r>
  <r>
    <x v="239"/>
    <x v="212"/>
    <x v="2"/>
    <x v="0"/>
    <x v="0"/>
    <x v="3"/>
    <x v="4"/>
    <x v="876"/>
    <x v="0"/>
    <x v="94"/>
    <x v="0"/>
  </r>
  <r>
    <x v="240"/>
    <x v="267"/>
    <x v="1"/>
    <x v="6"/>
    <x v="1"/>
    <x v="2"/>
    <x v="6"/>
    <x v="665"/>
    <x v="3"/>
    <x v="827"/>
    <x v="1"/>
  </r>
  <r>
    <x v="241"/>
    <x v="138"/>
    <x v="3"/>
    <x v="1"/>
    <x v="0"/>
    <x v="2"/>
    <x v="6"/>
    <x v="796"/>
    <x v="3"/>
    <x v="670"/>
    <x v="0"/>
  </r>
  <r>
    <x v="242"/>
    <x v="256"/>
    <x v="1"/>
    <x v="5"/>
    <x v="1"/>
    <x v="0"/>
    <x v="0"/>
    <x v="257"/>
    <x v="5"/>
    <x v="696"/>
    <x v="1"/>
  </r>
  <r>
    <x v="243"/>
    <x v="184"/>
    <x v="3"/>
    <x v="4"/>
    <x v="1"/>
    <x v="3"/>
    <x v="6"/>
    <x v="618"/>
    <x v="0"/>
    <x v="366"/>
    <x v="1"/>
  </r>
  <r>
    <x v="244"/>
    <x v="64"/>
    <x v="5"/>
    <x v="1"/>
    <x v="0"/>
    <x v="3"/>
    <x v="3"/>
    <x v="560"/>
    <x v="1"/>
    <x v="866"/>
    <x v="0"/>
  </r>
  <r>
    <x v="245"/>
    <x v="102"/>
    <x v="4"/>
    <x v="7"/>
    <x v="1"/>
    <x v="3"/>
    <x v="1"/>
    <x v="834"/>
    <x v="0"/>
    <x v="718"/>
    <x v="1"/>
  </r>
  <r>
    <x v="246"/>
    <x v="3"/>
    <x v="5"/>
    <x v="4"/>
    <x v="1"/>
    <x v="1"/>
    <x v="1"/>
    <x v="907"/>
    <x v="2"/>
    <x v="102"/>
    <x v="1"/>
  </r>
  <r>
    <x v="247"/>
    <x v="324"/>
    <x v="0"/>
    <x v="4"/>
    <x v="1"/>
    <x v="0"/>
    <x v="1"/>
    <x v="15"/>
    <x v="0"/>
    <x v="415"/>
    <x v="1"/>
  </r>
  <r>
    <x v="248"/>
    <x v="306"/>
    <x v="2"/>
    <x v="4"/>
    <x v="1"/>
    <x v="3"/>
    <x v="3"/>
    <x v="670"/>
    <x v="0"/>
    <x v="877"/>
    <x v="1"/>
  </r>
  <r>
    <x v="249"/>
    <x v="294"/>
    <x v="3"/>
    <x v="3"/>
    <x v="1"/>
    <x v="3"/>
    <x v="5"/>
    <x v="50"/>
    <x v="1"/>
    <x v="40"/>
    <x v="1"/>
  </r>
  <r>
    <x v="250"/>
    <x v="324"/>
    <x v="1"/>
    <x v="7"/>
    <x v="1"/>
    <x v="3"/>
    <x v="0"/>
    <x v="539"/>
    <x v="2"/>
    <x v="953"/>
    <x v="1"/>
  </r>
  <r>
    <x v="251"/>
    <x v="86"/>
    <x v="4"/>
    <x v="4"/>
    <x v="1"/>
    <x v="1"/>
    <x v="6"/>
    <x v="303"/>
    <x v="4"/>
    <x v="681"/>
    <x v="1"/>
  </r>
  <r>
    <x v="252"/>
    <x v="140"/>
    <x v="3"/>
    <x v="5"/>
    <x v="1"/>
    <x v="1"/>
    <x v="3"/>
    <x v="318"/>
    <x v="4"/>
    <x v="643"/>
    <x v="1"/>
  </r>
  <r>
    <x v="253"/>
    <x v="287"/>
    <x v="1"/>
    <x v="2"/>
    <x v="1"/>
    <x v="2"/>
    <x v="1"/>
    <x v="358"/>
    <x v="3"/>
    <x v="259"/>
    <x v="1"/>
  </r>
  <r>
    <x v="254"/>
    <x v="125"/>
    <x v="2"/>
    <x v="4"/>
    <x v="1"/>
    <x v="0"/>
    <x v="4"/>
    <x v="610"/>
    <x v="5"/>
    <x v="242"/>
    <x v="1"/>
  </r>
  <r>
    <x v="255"/>
    <x v="229"/>
    <x v="5"/>
    <x v="3"/>
    <x v="1"/>
    <x v="2"/>
    <x v="2"/>
    <x v="343"/>
    <x v="0"/>
    <x v="933"/>
    <x v="1"/>
  </r>
  <r>
    <x v="256"/>
    <x v="225"/>
    <x v="2"/>
    <x v="1"/>
    <x v="0"/>
    <x v="0"/>
    <x v="6"/>
    <x v="730"/>
    <x v="3"/>
    <x v="286"/>
    <x v="0"/>
  </r>
  <r>
    <x v="257"/>
    <x v="28"/>
    <x v="8"/>
    <x v="7"/>
    <x v="1"/>
    <x v="1"/>
    <x v="3"/>
    <x v="410"/>
    <x v="1"/>
    <x v="773"/>
    <x v="1"/>
  </r>
  <r>
    <x v="258"/>
    <x v="36"/>
    <x v="0"/>
    <x v="0"/>
    <x v="0"/>
    <x v="3"/>
    <x v="3"/>
    <x v="70"/>
    <x v="4"/>
    <x v="396"/>
    <x v="0"/>
  </r>
  <r>
    <x v="259"/>
    <x v="212"/>
    <x v="8"/>
    <x v="3"/>
    <x v="1"/>
    <x v="2"/>
    <x v="0"/>
    <x v="784"/>
    <x v="0"/>
    <x v="129"/>
    <x v="1"/>
  </r>
  <r>
    <x v="260"/>
    <x v="32"/>
    <x v="4"/>
    <x v="4"/>
    <x v="1"/>
    <x v="3"/>
    <x v="0"/>
    <x v="300"/>
    <x v="1"/>
    <x v="12"/>
    <x v="1"/>
  </r>
  <r>
    <x v="261"/>
    <x v="206"/>
    <x v="3"/>
    <x v="7"/>
    <x v="1"/>
    <x v="2"/>
    <x v="3"/>
    <x v="436"/>
    <x v="5"/>
    <x v="554"/>
    <x v="1"/>
  </r>
  <r>
    <x v="262"/>
    <x v="5"/>
    <x v="4"/>
    <x v="2"/>
    <x v="1"/>
    <x v="1"/>
    <x v="1"/>
    <x v="680"/>
    <x v="1"/>
    <x v="972"/>
    <x v="1"/>
  </r>
  <r>
    <x v="263"/>
    <x v="298"/>
    <x v="5"/>
    <x v="4"/>
    <x v="1"/>
    <x v="1"/>
    <x v="2"/>
    <x v="341"/>
    <x v="0"/>
    <x v="371"/>
    <x v="1"/>
  </r>
  <r>
    <x v="264"/>
    <x v="204"/>
    <x v="1"/>
    <x v="3"/>
    <x v="1"/>
    <x v="1"/>
    <x v="6"/>
    <x v="55"/>
    <x v="5"/>
    <x v="363"/>
    <x v="1"/>
  </r>
  <r>
    <x v="265"/>
    <x v="68"/>
    <x v="2"/>
    <x v="6"/>
    <x v="1"/>
    <x v="2"/>
    <x v="0"/>
    <x v="384"/>
    <x v="1"/>
    <x v="347"/>
    <x v="1"/>
  </r>
  <r>
    <x v="266"/>
    <x v="3"/>
    <x v="8"/>
    <x v="5"/>
    <x v="1"/>
    <x v="0"/>
    <x v="6"/>
    <x v="941"/>
    <x v="5"/>
    <x v="538"/>
    <x v="1"/>
  </r>
  <r>
    <x v="267"/>
    <x v="310"/>
    <x v="6"/>
    <x v="0"/>
    <x v="0"/>
    <x v="2"/>
    <x v="1"/>
    <x v="631"/>
    <x v="0"/>
    <x v="454"/>
    <x v="0"/>
  </r>
  <r>
    <x v="268"/>
    <x v="123"/>
    <x v="8"/>
    <x v="1"/>
    <x v="0"/>
    <x v="0"/>
    <x v="6"/>
    <x v="663"/>
    <x v="0"/>
    <x v="870"/>
    <x v="0"/>
  </r>
  <r>
    <x v="269"/>
    <x v="107"/>
    <x v="5"/>
    <x v="3"/>
    <x v="1"/>
    <x v="2"/>
    <x v="4"/>
    <x v="624"/>
    <x v="5"/>
    <x v="519"/>
    <x v="1"/>
  </r>
  <r>
    <x v="270"/>
    <x v="85"/>
    <x v="8"/>
    <x v="7"/>
    <x v="1"/>
    <x v="2"/>
    <x v="0"/>
    <x v="193"/>
    <x v="2"/>
    <x v="520"/>
    <x v="1"/>
  </r>
  <r>
    <x v="271"/>
    <x v="56"/>
    <x v="5"/>
    <x v="0"/>
    <x v="0"/>
    <x v="1"/>
    <x v="1"/>
    <x v="420"/>
    <x v="3"/>
    <x v="128"/>
    <x v="0"/>
  </r>
  <r>
    <x v="272"/>
    <x v="180"/>
    <x v="6"/>
    <x v="0"/>
    <x v="0"/>
    <x v="3"/>
    <x v="1"/>
    <x v="749"/>
    <x v="1"/>
    <x v="980"/>
    <x v="0"/>
  </r>
  <r>
    <x v="273"/>
    <x v="310"/>
    <x v="4"/>
    <x v="0"/>
    <x v="0"/>
    <x v="3"/>
    <x v="2"/>
    <x v="103"/>
    <x v="1"/>
    <x v="244"/>
    <x v="0"/>
  </r>
  <r>
    <x v="274"/>
    <x v="189"/>
    <x v="2"/>
    <x v="4"/>
    <x v="1"/>
    <x v="0"/>
    <x v="2"/>
    <x v="291"/>
    <x v="2"/>
    <x v="70"/>
    <x v="1"/>
  </r>
  <r>
    <x v="275"/>
    <x v="23"/>
    <x v="3"/>
    <x v="5"/>
    <x v="1"/>
    <x v="3"/>
    <x v="4"/>
    <x v="288"/>
    <x v="2"/>
    <x v="663"/>
    <x v="1"/>
  </r>
  <r>
    <x v="276"/>
    <x v="160"/>
    <x v="1"/>
    <x v="4"/>
    <x v="1"/>
    <x v="2"/>
    <x v="1"/>
    <x v="434"/>
    <x v="2"/>
    <x v="608"/>
    <x v="1"/>
  </r>
  <r>
    <x v="277"/>
    <x v="276"/>
    <x v="3"/>
    <x v="7"/>
    <x v="1"/>
    <x v="2"/>
    <x v="5"/>
    <x v="980"/>
    <x v="4"/>
    <x v="421"/>
    <x v="1"/>
  </r>
  <r>
    <x v="278"/>
    <x v="122"/>
    <x v="4"/>
    <x v="4"/>
    <x v="1"/>
    <x v="1"/>
    <x v="1"/>
    <x v="69"/>
    <x v="4"/>
    <x v="433"/>
    <x v="1"/>
  </r>
  <r>
    <x v="279"/>
    <x v="301"/>
    <x v="1"/>
    <x v="6"/>
    <x v="1"/>
    <x v="1"/>
    <x v="2"/>
    <x v="517"/>
    <x v="5"/>
    <x v="784"/>
    <x v="1"/>
  </r>
  <r>
    <x v="280"/>
    <x v="107"/>
    <x v="8"/>
    <x v="5"/>
    <x v="1"/>
    <x v="3"/>
    <x v="5"/>
    <x v="170"/>
    <x v="4"/>
    <x v="187"/>
    <x v="1"/>
  </r>
  <r>
    <x v="281"/>
    <x v="300"/>
    <x v="6"/>
    <x v="5"/>
    <x v="1"/>
    <x v="0"/>
    <x v="0"/>
    <x v="972"/>
    <x v="0"/>
    <x v="814"/>
    <x v="1"/>
  </r>
  <r>
    <x v="282"/>
    <x v="255"/>
    <x v="6"/>
    <x v="7"/>
    <x v="1"/>
    <x v="3"/>
    <x v="0"/>
    <x v="113"/>
    <x v="5"/>
    <x v="657"/>
    <x v="1"/>
  </r>
  <r>
    <x v="283"/>
    <x v="196"/>
    <x v="0"/>
    <x v="1"/>
    <x v="0"/>
    <x v="3"/>
    <x v="6"/>
    <x v="409"/>
    <x v="1"/>
    <x v="427"/>
    <x v="0"/>
  </r>
  <r>
    <x v="284"/>
    <x v="208"/>
    <x v="4"/>
    <x v="6"/>
    <x v="1"/>
    <x v="3"/>
    <x v="3"/>
    <x v="735"/>
    <x v="3"/>
    <x v="470"/>
    <x v="1"/>
  </r>
  <r>
    <x v="285"/>
    <x v="19"/>
    <x v="4"/>
    <x v="3"/>
    <x v="1"/>
    <x v="3"/>
    <x v="2"/>
    <x v="700"/>
    <x v="0"/>
    <x v="248"/>
    <x v="1"/>
  </r>
  <r>
    <x v="286"/>
    <x v="103"/>
    <x v="2"/>
    <x v="4"/>
    <x v="1"/>
    <x v="2"/>
    <x v="3"/>
    <x v="425"/>
    <x v="1"/>
    <x v="748"/>
    <x v="1"/>
  </r>
  <r>
    <x v="287"/>
    <x v="128"/>
    <x v="3"/>
    <x v="2"/>
    <x v="1"/>
    <x v="0"/>
    <x v="5"/>
    <x v="355"/>
    <x v="1"/>
    <x v="530"/>
    <x v="1"/>
  </r>
  <r>
    <x v="288"/>
    <x v="43"/>
    <x v="4"/>
    <x v="4"/>
    <x v="1"/>
    <x v="2"/>
    <x v="2"/>
    <x v="403"/>
    <x v="5"/>
    <x v="314"/>
    <x v="1"/>
  </r>
  <r>
    <x v="289"/>
    <x v="0"/>
    <x v="4"/>
    <x v="0"/>
    <x v="0"/>
    <x v="0"/>
    <x v="4"/>
    <x v="270"/>
    <x v="2"/>
    <x v="609"/>
    <x v="0"/>
  </r>
  <r>
    <x v="290"/>
    <x v="82"/>
    <x v="8"/>
    <x v="4"/>
    <x v="1"/>
    <x v="1"/>
    <x v="1"/>
    <x v="202"/>
    <x v="2"/>
    <x v="994"/>
    <x v="1"/>
  </r>
  <r>
    <x v="291"/>
    <x v="130"/>
    <x v="8"/>
    <x v="3"/>
    <x v="1"/>
    <x v="3"/>
    <x v="4"/>
    <x v="480"/>
    <x v="0"/>
    <x v="448"/>
    <x v="1"/>
  </r>
  <r>
    <x v="292"/>
    <x v="296"/>
    <x v="1"/>
    <x v="4"/>
    <x v="1"/>
    <x v="2"/>
    <x v="5"/>
    <x v="275"/>
    <x v="2"/>
    <x v="910"/>
    <x v="1"/>
  </r>
  <r>
    <x v="293"/>
    <x v="34"/>
    <x v="5"/>
    <x v="6"/>
    <x v="1"/>
    <x v="0"/>
    <x v="2"/>
    <x v="302"/>
    <x v="1"/>
    <x v="348"/>
    <x v="1"/>
  </r>
  <r>
    <x v="294"/>
    <x v="270"/>
    <x v="5"/>
    <x v="6"/>
    <x v="1"/>
    <x v="1"/>
    <x v="5"/>
    <x v="644"/>
    <x v="2"/>
    <x v="52"/>
    <x v="1"/>
  </r>
  <r>
    <x v="295"/>
    <x v="127"/>
    <x v="0"/>
    <x v="5"/>
    <x v="1"/>
    <x v="1"/>
    <x v="1"/>
    <x v="969"/>
    <x v="4"/>
    <x v="200"/>
    <x v="1"/>
  </r>
  <r>
    <x v="296"/>
    <x v="330"/>
    <x v="5"/>
    <x v="7"/>
    <x v="1"/>
    <x v="3"/>
    <x v="0"/>
    <x v="594"/>
    <x v="2"/>
    <x v="426"/>
    <x v="1"/>
  </r>
  <r>
    <x v="297"/>
    <x v="308"/>
    <x v="2"/>
    <x v="1"/>
    <x v="0"/>
    <x v="0"/>
    <x v="0"/>
    <x v="84"/>
    <x v="1"/>
    <x v="213"/>
    <x v="0"/>
  </r>
  <r>
    <x v="298"/>
    <x v="240"/>
    <x v="0"/>
    <x v="2"/>
    <x v="1"/>
    <x v="2"/>
    <x v="5"/>
    <x v="80"/>
    <x v="5"/>
    <x v="1"/>
    <x v="1"/>
  </r>
  <r>
    <x v="299"/>
    <x v="149"/>
    <x v="1"/>
    <x v="0"/>
    <x v="0"/>
    <x v="3"/>
    <x v="3"/>
    <x v="949"/>
    <x v="0"/>
    <x v="905"/>
    <x v="0"/>
  </r>
  <r>
    <x v="300"/>
    <x v="164"/>
    <x v="8"/>
    <x v="4"/>
    <x v="1"/>
    <x v="2"/>
    <x v="2"/>
    <x v="310"/>
    <x v="3"/>
    <x v="829"/>
    <x v="1"/>
  </r>
  <r>
    <x v="301"/>
    <x v="9"/>
    <x v="5"/>
    <x v="4"/>
    <x v="1"/>
    <x v="1"/>
    <x v="2"/>
    <x v="96"/>
    <x v="2"/>
    <x v="738"/>
    <x v="1"/>
  </r>
  <r>
    <x v="302"/>
    <x v="242"/>
    <x v="7"/>
    <x v="3"/>
    <x v="1"/>
    <x v="2"/>
    <x v="0"/>
    <x v="591"/>
    <x v="1"/>
    <x v="155"/>
    <x v="1"/>
  </r>
  <r>
    <x v="303"/>
    <x v="126"/>
    <x v="8"/>
    <x v="7"/>
    <x v="1"/>
    <x v="2"/>
    <x v="6"/>
    <x v="614"/>
    <x v="3"/>
    <x v="108"/>
    <x v="1"/>
  </r>
  <r>
    <x v="304"/>
    <x v="159"/>
    <x v="6"/>
    <x v="6"/>
    <x v="1"/>
    <x v="3"/>
    <x v="4"/>
    <x v="634"/>
    <x v="3"/>
    <x v="63"/>
    <x v="1"/>
  </r>
  <r>
    <x v="305"/>
    <x v="12"/>
    <x v="2"/>
    <x v="2"/>
    <x v="1"/>
    <x v="2"/>
    <x v="6"/>
    <x v="274"/>
    <x v="4"/>
    <x v="717"/>
    <x v="1"/>
  </r>
  <r>
    <x v="306"/>
    <x v="155"/>
    <x v="8"/>
    <x v="5"/>
    <x v="1"/>
    <x v="3"/>
    <x v="1"/>
    <x v="18"/>
    <x v="3"/>
    <x v="917"/>
    <x v="1"/>
  </r>
  <r>
    <x v="307"/>
    <x v="119"/>
    <x v="2"/>
    <x v="6"/>
    <x v="1"/>
    <x v="1"/>
    <x v="4"/>
    <x v="963"/>
    <x v="5"/>
    <x v="443"/>
    <x v="1"/>
  </r>
  <r>
    <x v="308"/>
    <x v="76"/>
    <x v="2"/>
    <x v="0"/>
    <x v="0"/>
    <x v="3"/>
    <x v="4"/>
    <x v="258"/>
    <x v="1"/>
    <x v="104"/>
    <x v="0"/>
  </r>
  <r>
    <x v="309"/>
    <x v="297"/>
    <x v="2"/>
    <x v="7"/>
    <x v="1"/>
    <x v="3"/>
    <x v="5"/>
    <x v="672"/>
    <x v="1"/>
    <x v="528"/>
    <x v="1"/>
  </r>
  <r>
    <x v="310"/>
    <x v="295"/>
    <x v="1"/>
    <x v="0"/>
    <x v="0"/>
    <x v="0"/>
    <x v="0"/>
    <x v="705"/>
    <x v="2"/>
    <x v="353"/>
    <x v="0"/>
  </r>
  <r>
    <x v="311"/>
    <x v="91"/>
    <x v="2"/>
    <x v="1"/>
    <x v="0"/>
    <x v="2"/>
    <x v="6"/>
    <x v="601"/>
    <x v="2"/>
    <x v="376"/>
    <x v="0"/>
  </r>
  <r>
    <x v="312"/>
    <x v="304"/>
    <x v="2"/>
    <x v="5"/>
    <x v="1"/>
    <x v="1"/>
    <x v="6"/>
    <x v="324"/>
    <x v="2"/>
    <x v="635"/>
    <x v="1"/>
  </r>
  <r>
    <x v="313"/>
    <x v="253"/>
    <x v="6"/>
    <x v="1"/>
    <x v="0"/>
    <x v="3"/>
    <x v="0"/>
    <x v="281"/>
    <x v="5"/>
    <x v="712"/>
    <x v="0"/>
  </r>
  <r>
    <x v="314"/>
    <x v="246"/>
    <x v="3"/>
    <x v="3"/>
    <x v="1"/>
    <x v="1"/>
    <x v="6"/>
    <x v="590"/>
    <x v="3"/>
    <x v="101"/>
    <x v="1"/>
  </r>
  <r>
    <x v="315"/>
    <x v="34"/>
    <x v="0"/>
    <x v="0"/>
    <x v="0"/>
    <x v="0"/>
    <x v="0"/>
    <x v="872"/>
    <x v="3"/>
    <x v="27"/>
    <x v="0"/>
  </r>
  <r>
    <x v="316"/>
    <x v="85"/>
    <x v="4"/>
    <x v="3"/>
    <x v="1"/>
    <x v="2"/>
    <x v="5"/>
    <x v="944"/>
    <x v="4"/>
    <x v="992"/>
    <x v="1"/>
  </r>
  <r>
    <x v="317"/>
    <x v="86"/>
    <x v="6"/>
    <x v="4"/>
    <x v="1"/>
    <x v="3"/>
    <x v="3"/>
    <x v="110"/>
    <x v="5"/>
    <x v="224"/>
    <x v="1"/>
  </r>
  <r>
    <x v="318"/>
    <x v="281"/>
    <x v="0"/>
    <x v="1"/>
    <x v="0"/>
    <x v="2"/>
    <x v="4"/>
    <x v="139"/>
    <x v="2"/>
    <x v="50"/>
    <x v="0"/>
  </r>
  <r>
    <x v="319"/>
    <x v="63"/>
    <x v="2"/>
    <x v="7"/>
    <x v="1"/>
    <x v="0"/>
    <x v="5"/>
    <x v="942"/>
    <x v="0"/>
    <x v="179"/>
    <x v="1"/>
  </r>
  <r>
    <x v="320"/>
    <x v="294"/>
    <x v="3"/>
    <x v="0"/>
    <x v="0"/>
    <x v="0"/>
    <x v="2"/>
    <x v="733"/>
    <x v="4"/>
    <x v="31"/>
    <x v="0"/>
  </r>
  <r>
    <x v="321"/>
    <x v="218"/>
    <x v="8"/>
    <x v="2"/>
    <x v="1"/>
    <x v="1"/>
    <x v="1"/>
    <x v="887"/>
    <x v="0"/>
    <x v="394"/>
    <x v="1"/>
  </r>
  <r>
    <x v="322"/>
    <x v="309"/>
    <x v="3"/>
    <x v="5"/>
    <x v="1"/>
    <x v="3"/>
    <x v="3"/>
    <x v="197"/>
    <x v="3"/>
    <x v="797"/>
    <x v="1"/>
  </r>
  <r>
    <x v="323"/>
    <x v="125"/>
    <x v="6"/>
    <x v="6"/>
    <x v="1"/>
    <x v="1"/>
    <x v="2"/>
    <x v="578"/>
    <x v="4"/>
    <x v="338"/>
    <x v="1"/>
  </r>
  <r>
    <x v="324"/>
    <x v="69"/>
    <x v="2"/>
    <x v="7"/>
    <x v="1"/>
    <x v="0"/>
    <x v="4"/>
    <x v="696"/>
    <x v="4"/>
    <x v="456"/>
    <x v="1"/>
  </r>
  <r>
    <x v="325"/>
    <x v="31"/>
    <x v="3"/>
    <x v="7"/>
    <x v="1"/>
    <x v="2"/>
    <x v="6"/>
    <x v="678"/>
    <x v="1"/>
    <x v="675"/>
    <x v="1"/>
  </r>
  <r>
    <x v="326"/>
    <x v="0"/>
    <x v="5"/>
    <x v="3"/>
    <x v="1"/>
    <x v="1"/>
    <x v="0"/>
    <x v="412"/>
    <x v="3"/>
    <x v="521"/>
    <x v="1"/>
  </r>
  <r>
    <x v="327"/>
    <x v="273"/>
    <x v="3"/>
    <x v="1"/>
    <x v="0"/>
    <x v="1"/>
    <x v="4"/>
    <x v="19"/>
    <x v="3"/>
    <x v="849"/>
    <x v="0"/>
  </r>
  <r>
    <x v="328"/>
    <x v="296"/>
    <x v="2"/>
    <x v="0"/>
    <x v="0"/>
    <x v="2"/>
    <x v="5"/>
    <x v="572"/>
    <x v="5"/>
    <x v="855"/>
    <x v="0"/>
  </r>
  <r>
    <x v="329"/>
    <x v="54"/>
    <x v="1"/>
    <x v="0"/>
    <x v="0"/>
    <x v="1"/>
    <x v="1"/>
    <x v="260"/>
    <x v="4"/>
    <x v="10"/>
    <x v="0"/>
  </r>
  <r>
    <x v="330"/>
    <x v="296"/>
    <x v="5"/>
    <x v="4"/>
    <x v="1"/>
    <x v="2"/>
    <x v="5"/>
    <x v="456"/>
    <x v="3"/>
    <x v="775"/>
    <x v="1"/>
  </r>
  <r>
    <x v="331"/>
    <x v="323"/>
    <x v="3"/>
    <x v="4"/>
    <x v="1"/>
    <x v="3"/>
    <x v="3"/>
    <x v="955"/>
    <x v="4"/>
    <x v="473"/>
    <x v="1"/>
  </r>
  <r>
    <x v="332"/>
    <x v="303"/>
    <x v="4"/>
    <x v="5"/>
    <x v="1"/>
    <x v="2"/>
    <x v="3"/>
    <x v="406"/>
    <x v="5"/>
    <x v="987"/>
    <x v="1"/>
  </r>
  <r>
    <x v="333"/>
    <x v="248"/>
    <x v="4"/>
    <x v="3"/>
    <x v="1"/>
    <x v="3"/>
    <x v="1"/>
    <x v="846"/>
    <x v="5"/>
    <x v="495"/>
    <x v="1"/>
  </r>
  <r>
    <x v="334"/>
    <x v="335"/>
    <x v="3"/>
    <x v="7"/>
    <x v="1"/>
    <x v="2"/>
    <x v="2"/>
    <x v="181"/>
    <x v="1"/>
    <x v="985"/>
    <x v="1"/>
  </r>
  <r>
    <x v="335"/>
    <x v="212"/>
    <x v="1"/>
    <x v="0"/>
    <x v="0"/>
    <x v="0"/>
    <x v="2"/>
    <x v="664"/>
    <x v="4"/>
    <x v="749"/>
    <x v="0"/>
  </r>
  <r>
    <x v="336"/>
    <x v="251"/>
    <x v="8"/>
    <x v="2"/>
    <x v="1"/>
    <x v="0"/>
    <x v="3"/>
    <x v="977"/>
    <x v="3"/>
    <x v="241"/>
    <x v="1"/>
  </r>
  <r>
    <x v="337"/>
    <x v="292"/>
    <x v="2"/>
    <x v="3"/>
    <x v="1"/>
    <x v="3"/>
    <x v="3"/>
    <x v="105"/>
    <x v="3"/>
    <x v="552"/>
    <x v="1"/>
  </r>
  <r>
    <x v="338"/>
    <x v="264"/>
    <x v="4"/>
    <x v="5"/>
    <x v="1"/>
    <x v="3"/>
    <x v="6"/>
    <x v="7"/>
    <x v="4"/>
    <x v="990"/>
    <x v="1"/>
  </r>
  <r>
    <x v="339"/>
    <x v="268"/>
    <x v="8"/>
    <x v="5"/>
    <x v="1"/>
    <x v="0"/>
    <x v="0"/>
    <x v="439"/>
    <x v="4"/>
    <x v="841"/>
    <x v="1"/>
  </r>
  <r>
    <x v="340"/>
    <x v="197"/>
    <x v="3"/>
    <x v="3"/>
    <x v="1"/>
    <x v="3"/>
    <x v="6"/>
    <x v="98"/>
    <x v="4"/>
    <x v="91"/>
    <x v="1"/>
  </r>
  <r>
    <x v="341"/>
    <x v="153"/>
    <x v="6"/>
    <x v="5"/>
    <x v="1"/>
    <x v="2"/>
    <x v="6"/>
    <x v="745"/>
    <x v="2"/>
    <x v="702"/>
    <x v="1"/>
  </r>
  <r>
    <x v="342"/>
    <x v="4"/>
    <x v="8"/>
    <x v="3"/>
    <x v="1"/>
    <x v="2"/>
    <x v="2"/>
    <x v="915"/>
    <x v="3"/>
    <x v="349"/>
    <x v="1"/>
  </r>
  <r>
    <x v="343"/>
    <x v="314"/>
    <x v="5"/>
    <x v="6"/>
    <x v="1"/>
    <x v="0"/>
    <x v="1"/>
    <x v="440"/>
    <x v="5"/>
    <x v="7"/>
    <x v="1"/>
  </r>
  <r>
    <x v="344"/>
    <x v="71"/>
    <x v="0"/>
    <x v="3"/>
    <x v="1"/>
    <x v="1"/>
    <x v="2"/>
    <x v="263"/>
    <x v="3"/>
    <x v="409"/>
    <x v="1"/>
  </r>
  <r>
    <x v="345"/>
    <x v="56"/>
    <x v="4"/>
    <x v="1"/>
    <x v="0"/>
    <x v="2"/>
    <x v="0"/>
    <x v="441"/>
    <x v="2"/>
    <x v="226"/>
    <x v="0"/>
  </r>
  <r>
    <x v="346"/>
    <x v="121"/>
    <x v="3"/>
    <x v="3"/>
    <x v="1"/>
    <x v="3"/>
    <x v="5"/>
    <x v="722"/>
    <x v="4"/>
    <x v="812"/>
    <x v="1"/>
  </r>
  <r>
    <x v="347"/>
    <x v="81"/>
    <x v="6"/>
    <x v="5"/>
    <x v="1"/>
    <x v="1"/>
    <x v="3"/>
    <x v="10"/>
    <x v="1"/>
    <x v="334"/>
    <x v="1"/>
  </r>
  <r>
    <x v="348"/>
    <x v="219"/>
    <x v="2"/>
    <x v="0"/>
    <x v="0"/>
    <x v="1"/>
    <x v="3"/>
    <x v="579"/>
    <x v="4"/>
    <x v="818"/>
    <x v="0"/>
  </r>
  <r>
    <x v="349"/>
    <x v="38"/>
    <x v="6"/>
    <x v="1"/>
    <x v="0"/>
    <x v="2"/>
    <x v="0"/>
    <x v="604"/>
    <x v="4"/>
    <x v="2"/>
    <x v="0"/>
  </r>
  <r>
    <x v="350"/>
    <x v="81"/>
    <x v="1"/>
    <x v="5"/>
    <x v="1"/>
    <x v="2"/>
    <x v="6"/>
    <x v="629"/>
    <x v="2"/>
    <x v="298"/>
    <x v="1"/>
  </r>
  <r>
    <x v="351"/>
    <x v="273"/>
    <x v="5"/>
    <x v="4"/>
    <x v="1"/>
    <x v="1"/>
    <x v="1"/>
    <x v="246"/>
    <x v="3"/>
    <x v="234"/>
    <x v="1"/>
  </r>
  <r>
    <x v="352"/>
    <x v="303"/>
    <x v="3"/>
    <x v="4"/>
    <x v="1"/>
    <x v="1"/>
    <x v="3"/>
    <x v="711"/>
    <x v="4"/>
    <x v="225"/>
    <x v="1"/>
  </r>
  <r>
    <x v="353"/>
    <x v="272"/>
    <x v="2"/>
    <x v="0"/>
    <x v="0"/>
    <x v="0"/>
    <x v="4"/>
    <x v="95"/>
    <x v="3"/>
    <x v="64"/>
    <x v="0"/>
  </r>
  <r>
    <x v="354"/>
    <x v="94"/>
    <x v="1"/>
    <x v="0"/>
    <x v="0"/>
    <x v="3"/>
    <x v="6"/>
    <x v="194"/>
    <x v="0"/>
    <x v="177"/>
    <x v="0"/>
  </r>
  <r>
    <x v="355"/>
    <x v="13"/>
    <x v="1"/>
    <x v="1"/>
    <x v="0"/>
    <x v="0"/>
    <x v="3"/>
    <x v="881"/>
    <x v="5"/>
    <x v="571"/>
    <x v="0"/>
  </r>
  <r>
    <x v="356"/>
    <x v="266"/>
    <x v="3"/>
    <x v="6"/>
    <x v="1"/>
    <x v="2"/>
    <x v="4"/>
    <x v="737"/>
    <x v="3"/>
    <x v="280"/>
    <x v="1"/>
  </r>
  <r>
    <x v="357"/>
    <x v="165"/>
    <x v="5"/>
    <x v="0"/>
    <x v="0"/>
    <x v="0"/>
    <x v="0"/>
    <x v="16"/>
    <x v="1"/>
    <x v="424"/>
    <x v="0"/>
  </r>
  <r>
    <x v="358"/>
    <x v="114"/>
    <x v="8"/>
    <x v="4"/>
    <x v="1"/>
    <x v="0"/>
    <x v="0"/>
    <x v="252"/>
    <x v="5"/>
    <x v="378"/>
    <x v="1"/>
  </r>
  <r>
    <x v="359"/>
    <x v="327"/>
    <x v="8"/>
    <x v="3"/>
    <x v="1"/>
    <x v="0"/>
    <x v="6"/>
    <x v="212"/>
    <x v="1"/>
    <x v="864"/>
    <x v="1"/>
  </r>
  <r>
    <x v="360"/>
    <x v="21"/>
    <x v="1"/>
    <x v="5"/>
    <x v="1"/>
    <x v="0"/>
    <x v="3"/>
    <x v="279"/>
    <x v="4"/>
    <x v="892"/>
    <x v="1"/>
  </r>
  <r>
    <x v="361"/>
    <x v="57"/>
    <x v="8"/>
    <x v="4"/>
    <x v="1"/>
    <x v="3"/>
    <x v="2"/>
    <x v="251"/>
    <x v="5"/>
    <x v="508"/>
    <x v="1"/>
  </r>
  <r>
    <x v="362"/>
    <x v="131"/>
    <x v="0"/>
    <x v="4"/>
    <x v="1"/>
    <x v="3"/>
    <x v="4"/>
    <x v="60"/>
    <x v="3"/>
    <x v="323"/>
    <x v="1"/>
  </r>
  <r>
    <x v="363"/>
    <x v="141"/>
    <x v="1"/>
    <x v="6"/>
    <x v="1"/>
    <x v="1"/>
    <x v="1"/>
    <x v="464"/>
    <x v="5"/>
    <x v="97"/>
    <x v="1"/>
  </r>
  <r>
    <x v="364"/>
    <x v="133"/>
    <x v="1"/>
    <x v="1"/>
    <x v="0"/>
    <x v="2"/>
    <x v="3"/>
    <x v="731"/>
    <x v="4"/>
    <x v="944"/>
    <x v="0"/>
  </r>
  <r>
    <x v="365"/>
    <x v="208"/>
    <x v="2"/>
    <x v="1"/>
    <x v="0"/>
    <x v="0"/>
    <x v="1"/>
    <x v="596"/>
    <x v="2"/>
    <x v="59"/>
    <x v="0"/>
  </r>
  <r>
    <x v="366"/>
    <x v="285"/>
    <x v="8"/>
    <x v="7"/>
    <x v="1"/>
    <x v="1"/>
    <x v="3"/>
    <x v="667"/>
    <x v="1"/>
    <x v="282"/>
    <x v="1"/>
  </r>
  <r>
    <x v="367"/>
    <x v="94"/>
    <x v="5"/>
    <x v="6"/>
    <x v="1"/>
    <x v="1"/>
    <x v="2"/>
    <x v="87"/>
    <x v="4"/>
    <x v="285"/>
    <x v="1"/>
  </r>
  <r>
    <x v="368"/>
    <x v="94"/>
    <x v="1"/>
    <x v="3"/>
    <x v="1"/>
    <x v="1"/>
    <x v="2"/>
    <x v="952"/>
    <x v="2"/>
    <x v="312"/>
    <x v="1"/>
  </r>
  <r>
    <x v="369"/>
    <x v="35"/>
    <x v="6"/>
    <x v="1"/>
    <x v="0"/>
    <x v="3"/>
    <x v="6"/>
    <x v="843"/>
    <x v="5"/>
    <x v="149"/>
    <x v="0"/>
  </r>
  <r>
    <x v="370"/>
    <x v="184"/>
    <x v="5"/>
    <x v="5"/>
    <x v="1"/>
    <x v="0"/>
    <x v="6"/>
    <x v="809"/>
    <x v="5"/>
    <x v="781"/>
    <x v="1"/>
  </r>
  <r>
    <x v="371"/>
    <x v="123"/>
    <x v="0"/>
    <x v="0"/>
    <x v="0"/>
    <x v="0"/>
    <x v="2"/>
    <x v="825"/>
    <x v="4"/>
    <x v="110"/>
    <x v="0"/>
  </r>
  <r>
    <x v="372"/>
    <x v="61"/>
    <x v="2"/>
    <x v="6"/>
    <x v="1"/>
    <x v="2"/>
    <x v="5"/>
    <x v="930"/>
    <x v="3"/>
    <x v="645"/>
    <x v="1"/>
  </r>
  <r>
    <x v="373"/>
    <x v="165"/>
    <x v="3"/>
    <x v="0"/>
    <x v="0"/>
    <x v="0"/>
    <x v="2"/>
    <x v="534"/>
    <x v="5"/>
    <x v="113"/>
    <x v="0"/>
  </r>
  <r>
    <x v="374"/>
    <x v="38"/>
    <x v="5"/>
    <x v="4"/>
    <x v="1"/>
    <x v="0"/>
    <x v="0"/>
    <x v="195"/>
    <x v="3"/>
    <x v="68"/>
    <x v="1"/>
  </r>
  <r>
    <x v="375"/>
    <x v="14"/>
    <x v="1"/>
    <x v="5"/>
    <x v="1"/>
    <x v="1"/>
    <x v="0"/>
    <x v="607"/>
    <x v="3"/>
    <x v="897"/>
    <x v="1"/>
  </r>
  <r>
    <x v="376"/>
    <x v="101"/>
    <x v="0"/>
    <x v="5"/>
    <x v="1"/>
    <x v="2"/>
    <x v="5"/>
    <x v="742"/>
    <x v="3"/>
    <x v="180"/>
    <x v="1"/>
  </r>
  <r>
    <x v="377"/>
    <x v="145"/>
    <x v="4"/>
    <x v="4"/>
    <x v="1"/>
    <x v="0"/>
    <x v="4"/>
    <x v="736"/>
    <x v="0"/>
    <x v="815"/>
    <x v="1"/>
  </r>
  <r>
    <x v="378"/>
    <x v="267"/>
    <x v="0"/>
    <x v="6"/>
    <x v="1"/>
    <x v="3"/>
    <x v="1"/>
    <x v="519"/>
    <x v="2"/>
    <x v="556"/>
    <x v="1"/>
  </r>
  <r>
    <x v="379"/>
    <x v="213"/>
    <x v="0"/>
    <x v="4"/>
    <x v="1"/>
    <x v="0"/>
    <x v="3"/>
    <x v="71"/>
    <x v="2"/>
    <x v="72"/>
    <x v="1"/>
  </r>
  <r>
    <x v="380"/>
    <x v="145"/>
    <x v="2"/>
    <x v="0"/>
    <x v="0"/>
    <x v="1"/>
    <x v="3"/>
    <x v="377"/>
    <x v="5"/>
    <x v="946"/>
    <x v="0"/>
  </r>
  <r>
    <x v="381"/>
    <x v="34"/>
    <x v="3"/>
    <x v="7"/>
    <x v="1"/>
    <x v="3"/>
    <x v="5"/>
    <x v="920"/>
    <x v="5"/>
    <x v="238"/>
    <x v="1"/>
  </r>
  <r>
    <x v="382"/>
    <x v="88"/>
    <x v="4"/>
    <x v="5"/>
    <x v="1"/>
    <x v="1"/>
    <x v="0"/>
    <x v="576"/>
    <x v="3"/>
    <x v="847"/>
    <x v="1"/>
  </r>
  <r>
    <x v="383"/>
    <x v="267"/>
    <x v="8"/>
    <x v="2"/>
    <x v="1"/>
    <x v="0"/>
    <x v="6"/>
    <x v="530"/>
    <x v="0"/>
    <x v="158"/>
    <x v="1"/>
  </r>
  <r>
    <x v="384"/>
    <x v="235"/>
    <x v="8"/>
    <x v="2"/>
    <x v="1"/>
    <x v="3"/>
    <x v="3"/>
    <x v="277"/>
    <x v="3"/>
    <x v="838"/>
    <x v="1"/>
  </r>
  <r>
    <x v="385"/>
    <x v="182"/>
    <x v="5"/>
    <x v="0"/>
    <x v="0"/>
    <x v="2"/>
    <x v="0"/>
    <x v="373"/>
    <x v="0"/>
    <x v="14"/>
    <x v="0"/>
  </r>
  <r>
    <x v="386"/>
    <x v="78"/>
    <x v="0"/>
    <x v="3"/>
    <x v="1"/>
    <x v="2"/>
    <x v="4"/>
    <x v="898"/>
    <x v="3"/>
    <x v="527"/>
    <x v="1"/>
  </r>
  <r>
    <x v="387"/>
    <x v="298"/>
    <x v="6"/>
    <x v="1"/>
    <x v="0"/>
    <x v="3"/>
    <x v="1"/>
    <x v="656"/>
    <x v="1"/>
    <x v="768"/>
    <x v="0"/>
  </r>
  <r>
    <x v="388"/>
    <x v="9"/>
    <x v="2"/>
    <x v="4"/>
    <x v="1"/>
    <x v="3"/>
    <x v="4"/>
    <x v="786"/>
    <x v="1"/>
    <x v="925"/>
    <x v="1"/>
  </r>
  <r>
    <x v="389"/>
    <x v="4"/>
    <x v="6"/>
    <x v="4"/>
    <x v="1"/>
    <x v="1"/>
    <x v="5"/>
    <x v="459"/>
    <x v="4"/>
    <x v="895"/>
    <x v="1"/>
  </r>
  <r>
    <x v="390"/>
    <x v="112"/>
    <x v="2"/>
    <x v="3"/>
    <x v="1"/>
    <x v="3"/>
    <x v="2"/>
    <x v="621"/>
    <x v="3"/>
    <x v="813"/>
    <x v="1"/>
  </r>
  <r>
    <x v="391"/>
    <x v="305"/>
    <x v="8"/>
    <x v="3"/>
    <x v="1"/>
    <x v="1"/>
    <x v="2"/>
    <x v="253"/>
    <x v="5"/>
    <x v="880"/>
    <x v="1"/>
  </r>
  <r>
    <x v="392"/>
    <x v="327"/>
    <x v="5"/>
    <x v="0"/>
    <x v="0"/>
    <x v="0"/>
    <x v="2"/>
    <x v="703"/>
    <x v="2"/>
    <x v="194"/>
    <x v="0"/>
  </r>
  <r>
    <x v="393"/>
    <x v="107"/>
    <x v="5"/>
    <x v="0"/>
    <x v="0"/>
    <x v="1"/>
    <x v="4"/>
    <x v="429"/>
    <x v="4"/>
    <x v="272"/>
    <x v="0"/>
  </r>
  <r>
    <x v="394"/>
    <x v="271"/>
    <x v="5"/>
    <x v="3"/>
    <x v="1"/>
    <x v="3"/>
    <x v="3"/>
    <x v="449"/>
    <x v="5"/>
    <x v="278"/>
    <x v="1"/>
  </r>
  <r>
    <x v="395"/>
    <x v="147"/>
    <x v="4"/>
    <x v="5"/>
    <x v="1"/>
    <x v="3"/>
    <x v="1"/>
    <x v="636"/>
    <x v="1"/>
    <x v="380"/>
    <x v="1"/>
  </r>
  <r>
    <x v="396"/>
    <x v="279"/>
    <x v="3"/>
    <x v="0"/>
    <x v="0"/>
    <x v="0"/>
    <x v="2"/>
    <x v="934"/>
    <x v="3"/>
    <x v="397"/>
    <x v="0"/>
  </r>
  <r>
    <x v="397"/>
    <x v="211"/>
    <x v="4"/>
    <x v="7"/>
    <x v="1"/>
    <x v="3"/>
    <x v="5"/>
    <x v="62"/>
    <x v="4"/>
    <x v="555"/>
    <x v="1"/>
  </r>
  <r>
    <x v="398"/>
    <x v="339"/>
    <x v="1"/>
    <x v="0"/>
    <x v="0"/>
    <x v="3"/>
    <x v="5"/>
    <x v="826"/>
    <x v="3"/>
    <x v="145"/>
    <x v="0"/>
  </r>
  <r>
    <x v="399"/>
    <x v="200"/>
    <x v="1"/>
    <x v="4"/>
    <x v="1"/>
    <x v="2"/>
    <x v="2"/>
    <x v="308"/>
    <x v="1"/>
    <x v="688"/>
    <x v="1"/>
  </r>
  <r>
    <x v="400"/>
    <x v="170"/>
    <x v="6"/>
    <x v="0"/>
    <x v="0"/>
    <x v="2"/>
    <x v="7"/>
    <x v="451"/>
    <x v="4"/>
    <x v="154"/>
    <x v="0"/>
  </r>
  <r>
    <x v="401"/>
    <x v="14"/>
    <x v="3"/>
    <x v="5"/>
    <x v="1"/>
    <x v="0"/>
    <x v="1"/>
    <x v="24"/>
    <x v="6"/>
    <x v="301"/>
    <x v="1"/>
  </r>
  <r>
    <x v="402"/>
    <x v="145"/>
    <x v="8"/>
    <x v="3"/>
    <x v="1"/>
    <x v="1"/>
    <x v="2"/>
    <x v="312"/>
    <x v="0"/>
    <x v="0"/>
    <x v="1"/>
  </r>
  <r>
    <x v="403"/>
    <x v="124"/>
    <x v="3"/>
    <x v="4"/>
    <x v="1"/>
    <x v="2"/>
    <x v="1"/>
    <x v="501"/>
    <x v="1"/>
    <x v="788"/>
    <x v="1"/>
  </r>
  <r>
    <x v="404"/>
    <x v="242"/>
    <x v="2"/>
    <x v="0"/>
    <x v="0"/>
    <x v="1"/>
    <x v="5"/>
    <x v="54"/>
    <x v="3"/>
    <x v="732"/>
    <x v="0"/>
  </r>
  <r>
    <x v="405"/>
    <x v="145"/>
    <x v="1"/>
    <x v="5"/>
    <x v="1"/>
    <x v="3"/>
    <x v="2"/>
    <x v="491"/>
    <x v="2"/>
    <x v="651"/>
    <x v="1"/>
  </r>
  <r>
    <x v="406"/>
    <x v="43"/>
    <x v="0"/>
    <x v="7"/>
    <x v="1"/>
    <x v="2"/>
    <x v="4"/>
    <x v="924"/>
    <x v="1"/>
    <x v="143"/>
    <x v="1"/>
  </r>
  <r>
    <x v="407"/>
    <x v="300"/>
    <x v="0"/>
    <x v="0"/>
    <x v="0"/>
    <x v="0"/>
    <x v="6"/>
    <x v="109"/>
    <x v="5"/>
    <x v="561"/>
    <x v="0"/>
  </r>
  <r>
    <x v="408"/>
    <x v="307"/>
    <x v="8"/>
    <x v="5"/>
    <x v="1"/>
    <x v="0"/>
    <x v="4"/>
    <x v="768"/>
    <x v="2"/>
    <x v="82"/>
    <x v="1"/>
  </r>
  <r>
    <x v="409"/>
    <x v="160"/>
    <x v="2"/>
    <x v="7"/>
    <x v="1"/>
    <x v="0"/>
    <x v="5"/>
    <x v="414"/>
    <x v="0"/>
    <x v="382"/>
    <x v="1"/>
  </r>
  <r>
    <x v="410"/>
    <x v="119"/>
    <x v="6"/>
    <x v="3"/>
    <x v="1"/>
    <x v="2"/>
    <x v="1"/>
    <x v="641"/>
    <x v="4"/>
    <x v="420"/>
    <x v="1"/>
  </r>
  <r>
    <x v="411"/>
    <x v="86"/>
    <x v="4"/>
    <x v="0"/>
    <x v="0"/>
    <x v="1"/>
    <x v="4"/>
    <x v="266"/>
    <x v="4"/>
    <x v="34"/>
    <x v="0"/>
  </r>
  <r>
    <x v="412"/>
    <x v="105"/>
    <x v="2"/>
    <x v="7"/>
    <x v="1"/>
    <x v="3"/>
    <x v="1"/>
    <x v="144"/>
    <x v="2"/>
    <x v="261"/>
    <x v="1"/>
  </r>
  <r>
    <x v="413"/>
    <x v="225"/>
    <x v="0"/>
    <x v="4"/>
    <x v="1"/>
    <x v="1"/>
    <x v="4"/>
    <x v="146"/>
    <x v="4"/>
    <x v="947"/>
    <x v="1"/>
  </r>
  <r>
    <x v="414"/>
    <x v="269"/>
    <x v="0"/>
    <x v="3"/>
    <x v="1"/>
    <x v="1"/>
    <x v="4"/>
    <x v="75"/>
    <x v="1"/>
    <x v="945"/>
    <x v="1"/>
  </r>
  <r>
    <x v="415"/>
    <x v="260"/>
    <x v="6"/>
    <x v="4"/>
    <x v="1"/>
    <x v="3"/>
    <x v="1"/>
    <x v="176"/>
    <x v="2"/>
    <x v="356"/>
    <x v="1"/>
  </r>
  <r>
    <x v="416"/>
    <x v="275"/>
    <x v="1"/>
    <x v="2"/>
    <x v="1"/>
    <x v="3"/>
    <x v="3"/>
    <x v="655"/>
    <x v="3"/>
    <x v="38"/>
    <x v="1"/>
  </r>
  <r>
    <x v="417"/>
    <x v="261"/>
    <x v="2"/>
    <x v="6"/>
    <x v="1"/>
    <x v="2"/>
    <x v="4"/>
    <x v="884"/>
    <x v="1"/>
    <x v="165"/>
    <x v="1"/>
  </r>
  <r>
    <x v="418"/>
    <x v="63"/>
    <x v="2"/>
    <x v="0"/>
    <x v="0"/>
    <x v="2"/>
    <x v="2"/>
    <x v="816"/>
    <x v="1"/>
    <x v="395"/>
    <x v="0"/>
  </r>
  <r>
    <x v="419"/>
    <x v="136"/>
    <x v="0"/>
    <x v="7"/>
    <x v="1"/>
    <x v="2"/>
    <x v="6"/>
    <x v="679"/>
    <x v="1"/>
    <x v="938"/>
    <x v="1"/>
  </r>
  <r>
    <x v="420"/>
    <x v="10"/>
    <x v="4"/>
    <x v="6"/>
    <x v="1"/>
    <x v="2"/>
    <x v="5"/>
    <x v="111"/>
    <x v="3"/>
    <x v="132"/>
    <x v="1"/>
  </r>
  <r>
    <x v="421"/>
    <x v="235"/>
    <x v="8"/>
    <x v="6"/>
    <x v="1"/>
    <x v="2"/>
    <x v="3"/>
    <x v="305"/>
    <x v="0"/>
    <x v="760"/>
    <x v="1"/>
  </r>
  <r>
    <x v="422"/>
    <x v="305"/>
    <x v="5"/>
    <x v="7"/>
    <x v="1"/>
    <x v="3"/>
    <x v="1"/>
    <x v="321"/>
    <x v="5"/>
    <x v="98"/>
    <x v="1"/>
  </r>
  <r>
    <x v="423"/>
    <x v="334"/>
    <x v="8"/>
    <x v="3"/>
    <x v="1"/>
    <x v="1"/>
    <x v="3"/>
    <x v="256"/>
    <x v="4"/>
    <x v="979"/>
    <x v="1"/>
  </r>
  <r>
    <x v="424"/>
    <x v="34"/>
    <x v="2"/>
    <x v="0"/>
    <x v="0"/>
    <x v="2"/>
    <x v="0"/>
    <x v="514"/>
    <x v="2"/>
    <x v="384"/>
    <x v="0"/>
  </r>
  <r>
    <x v="425"/>
    <x v="123"/>
    <x v="8"/>
    <x v="2"/>
    <x v="1"/>
    <x v="2"/>
    <x v="0"/>
    <x v="526"/>
    <x v="0"/>
    <x v="772"/>
    <x v="1"/>
  </r>
  <r>
    <x v="426"/>
    <x v="186"/>
    <x v="0"/>
    <x v="4"/>
    <x v="1"/>
    <x v="1"/>
    <x v="4"/>
    <x v="365"/>
    <x v="2"/>
    <x v="343"/>
    <x v="1"/>
  </r>
  <r>
    <x v="427"/>
    <x v="21"/>
    <x v="0"/>
    <x v="5"/>
    <x v="1"/>
    <x v="2"/>
    <x v="4"/>
    <x v="360"/>
    <x v="4"/>
    <x v="641"/>
    <x v="1"/>
  </r>
  <r>
    <x v="428"/>
    <x v="279"/>
    <x v="6"/>
    <x v="4"/>
    <x v="1"/>
    <x v="1"/>
    <x v="2"/>
    <x v="832"/>
    <x v="3"/>
    <x v="181"/>
    <x v="1"/>
  </r>
  <r>
    <x v="429"/>
    <x v="320"/>
    <x v="2"/>
    <x v="5"/>
    <x v="1"/>
    <x v="1"/>
    <x v="6"/>
    <x v="788"/>
    <x v="1"/>
    <x v="134"/>
    <x v="1"/>
  </r>
  <r>
    <x v="430"/>
    <x v="278"/>
    <x v="6"/>
    <x v="4"/>
    <x v="1"/>
    <x v="3"/>
    <x v="5"/>
    <x v="319"/>
    <x v="1"/>
    <x v="927"/>
    <x v="1"/>
  </r>
  <r>
    <x v="431"/>
    <x v="337"/>
    <x v="2"/>
    <x v="7"/>
    <x v="1"/>
    <x v="0"/>
    <x v="3"/>
    <x v="914"/>
    <x v="3"/>
    <x v="907"/>
    <x v="1"/>
  </r>
  <r>
    <x v="432"/>
    <x v="202"/>
    <x v="5"/>
    <x v="2"/>
    <x v="1"/>
    <x v="3"/>
    <x v="0"/>
    <x v="954"/>
    <x v="0"/>
    <x v="879"/>
    <x v="1"/>
  </r>
  <r>
    <x v="433"/>
    <x v="129"/>
    <x v="5"/>
    <x v="0"/>
    <x v="0"/>
    <x v="0"/>
    <x v="4"/>
    <x v="337"/>
    <x v="0"/>
    <x v="639"/>
    <x v="0"/>
  </r>
  <r>
    <x v="434"/>
    <x v="94"/>
    <x v="1"/>
    <x v="5"/>
    <x v="1"/>
    <x v="0"/>
    <x v="5"/>
    <x v="362"/>
    <x v="2"/>
    <x v="801"/>
    <x v="1"/>
  </r>
  <r>
    <x v="435"/>
    <x v="194"/>
    <x v="2"/>
    <x v="0"/>
    <x v="0"/>
    <x v="0"/>
    <x v="3"/>
    <x v="505"/>
    <x v="3"/>
    <x v="67"/>
    <x v="0"/>
  </r>
  <r>
    <x v="436"/>
    <x v="101"/>
    <x v="4"/>
    <x v="0"/>
    <x v="0"/>
    <x v="2"/>
    <x v="4"/>
    <x v="938"/>
    <x v="0"/>
    <x v="330"/>
    <x v="0"/>
  </r>
  <r>
    <x v="437"/>
    <x v="94"/>
    <x v="8"/>
    <x v="0"/>
    <x v="0"/>
    <x v="3"/>
    <x v="4"/>
    <x v="879"/>
    <x v="3"/>
    <x v="306"/>
    <x v="0"/>
  </r>
  <r>
    <x v="438"/>
    <x v="292"/>
    <x v="2"/>
    <x v="1"/>
    <x v="0"/>
    <x v="0"/>
    <x v="0"/>
    <x v="107"/>
    <x v="4"/>
    <x v="647"/>
    <x v="0"/>
  </r>
  <r>
    <x v="439"/>
    <x v="158"/>
    <x v="3"/>
    <x v="3"/>
    <x v="1"/>
    <x v="1"/>
    <x v="0"/>
    <x v="400"/>
    <x v="1"/>
    <x v="361"/>
    <x v="1"/>
  </r>
  <r>
    <x v="440"/>
    <x v="330"/>
    <x v="1"/>
    <x v="4"/>
    <x v="1"/>
    <x v="2"/>
    <x v="4"/>
    <x v="543"/>
    <x v="1"/>
    <x v="138"/>
    <x v="1"/>
  </r>
  <r>
    <x v="441"/>
    <x v="300"/>
    <x v="3"/>
    <x v="0"/>
    <x v="0"/>
    <x v="3"/>
    <x v="1"/>
    <x v="502"/>
    <x v="1"/>
    <x v="610"/>
    <x v="0"/>
  </r>
  <r>
    <x v="442"/>
    <x v="122"/>
    <x v="0"/>
    <x v="4"/>
    <x v="1"/>
    <x v="0"/>
    <x v="4"/>
    <x v="186"/>
    <x v="3"/>
    <x v="809"/>
    <x v="1"/>
  </r>
  <r>
    <x v="443"/>
    <x v="270"/>
    <x v="5"/>
    <x v="0"/>
    <x v="0"/>
    <x v="1"/>
    <x v="5"/>
    <x v="863"/>
    <x v="3"/>
    <x v="385"/>
    <x v="0"/>
  </r>
  <r>
    <x v="444"/>
    <x v="303"/>
    <x v="8"/>
    <x v="5"/>
    <x v="1"/>
    <x v="3"/>
    <x v="4"/>
    <x v="673"/>
    <x v="2"/>
    <x v="120"/>
    <x v="1"/>
  </r>
  <r>
    <x v="445"/>
    <x v="116"/>
    <x v="2"/>
    <x v="3"/>
    <x v="1"/>
    <x v="3"/>
    <x v="2"/>
    <x v="840"/>
    <x v="1"/>
    <x v="190"/>
    <x v="1"/>
  </r>
  <r>
    <x v="446"/>
    <x v="96"/>
    <x v="3"/>
    <x v="3"/>
    <x v="1"/>
    <x v="2"/>
    <x v="6"/>
    <x v="862"/>
    <x v="2"/>
    <x v="228"/>
    <x v="1"/>
  </r>
  <r>
    <x v="447"/>
    <x v="83"/>
    <x v="8"/>
    <x v="7"/>
    <x v="1"/>
    <x v="3"/>
    <x v="2"/>
    <x v="744"/>
    <x v="1"/>
    <x v="287"/>
    <x v="1"/>
  </r>
  <r>
    <x v="448"/>
    <x v="265"/>
    <x v="0"/>
    <x v="1"/>
    <x v="0"/>
    <x v="2"/>
    <x v="2"/>
    <x v="446"/>
    <x v="2"/>
    <x v="649"/>
    <x v="0"/>
  </r>
  <r>
    <x v="449"/>
    <x v="46"/>
    <x v="5"/>
    <x v="7"/>
    <x v="1"/>
    <x v="0"/>
    <x v="1"/>
    <x v="602"/>
    <x v="2"/>
    <x v="619"/>
    <x v="1"/>
  </r>
  <r>
    <x v="450"/>
    <x v="26"/>
    <x v="4"/>
    <x v="7"/>
    <x v="1"/>
    <x v="2"/>
    <x v="1"/>
    <x v="145"/>
    <x v="4"/>
    <x v="695"/>
    <x v="1"/>
  </r>
  <r>
    <x v="451"/>
    <x v="273"/>
    <x v="1"/>
    <x v="7"/>
    <x v="1"/>
    <x v="1"/>
    <x v="4"/>
    <x v="668"/>
    <x v="2"/>
    <x v="365"/>
    <x v="1"/>
  </r>
  <r>
    <x v="452"/>
    <x v="274"/>
    <x v="8"/>
    <x v="7"/>
    <x v="1"/>
    <x v="2"/>
    <x v="2"/>
    <x v="167"/>
    <x v="3"/>
    <x v="816"/>
    <x v="1"/>
  </r>
  <r>
    <x v="453"/>
    <x v="198"/>
    <x v="8"/>
    <x v="7"/>
    <x v="1"/>
    <x v="1"/>
    <x v="1"/>
    <x v="687"/>
    <x v="2"/>
    <x v="199"/>
    <x v="1"/>
  </r>
  <r>
    <x v="454"/>
    <x v="248"/>
    <x v="4"/>
    <x v="2"/>
    <x v="1"/>
    <x v="2"/>
    <x v="0"/>
    <x v="229"/>
    <x v="1"/>
    <x v="478"/>
    <x v="1"/>
  </r>
  <r>
    <x v="455"/>
    <x v="238"/>
    <x v="8"/>
    <x v="3"/>
    <x v="1"/>
    <x v="3"/>
    <x v="4"/>
    <x v="116"/>
    <x v="2"/>
    <x v="794"/>
    <x v="1"/>
  </r>
  <r>
    <x v="456"/>
    <x v="278"/>
    <x v="0"/>
    <x v="7"/>
    <x v="1"/>
    <x v="0"/>
    <x v="5"/>
    <x v="153"/>
    <x v="0"/>
    <x v="167"/>
    <x v="1"/>
  </r>
  <r>
    <x v="457"/>
    <x v="91"/>
    <x v="0"/>
    <x v="0"/>
    <x v="0"/>
    <x v="1"/>
    <x v="6"/>
    <x v="3"/>
    <x v="5"/>
    <x v="100"/>
    <x v="0"/>
  </r>
  <r>
    <x v="458"/>
    <x v="320"/>
    <x v="4"/>
    <x v="3"/>
    <x v="1"/>
    <x v="2"/>
    <x v="3"/>
    <x v="719"/>
    <x v="1"/>
    <x v="872"/>
    <x v="1"/>
  </r>
  <r>
    <x v="459"/>
    <x v="100"/>
    <x v="1"/>
    <x v="3"/>
    <x v="1"/>
    <x v="2"/>
    <x v="4"/>
    <x v="729"/>
    <x v="0"/>
    <x v="344"/>
    <x v="1"/>
  </r>
  <r>
    <x v="460"/>
    <x v="168"/>
    <x v="2"/>
    <x v="6"/>
    <x v="1"/>
    <x v="2"/>
    <x v="3"/>
    <x v="513"/>
    <x v="1"/>
    <x v="684"/>
    <x v="1"/>
  </r>
  <r>
    <x v="461"/>
    <x v="289"/>
    <x v="3"/>
    <x v="2"/>
    <x v="1"/>
    <x v="3"/>
    <x v="2"/>
    <x v="148"/>
    <x v="3"/>
    <x v="24"/>
    <x v="1"/>
  </r>
  <r>
    <x v="462"/>
    <x v="0"/>
    <x v="2"/>
    <x v="7"/>
    <x v="1"/>
    <x v="3"/>
    <x v="6"/>
    <x v="90"/>
    <x v="5"/>
    <x v="686"/>
    <x v="1"/>
  </r>
  <r>
    <x v="463"/>
    <x v="295"/>
    <x v="8"/>
    <x v="4"/>
    <x v="1"/>
    <x v="1"/>
    <x v="3"/>
    <x v="21"/>
    <x v="5"/>
    <x v="308"/>
    <x v="1"/>
  </r>
  <r>
    <x v="464"/>
    <x v="50"/>
    <x v="3"/>
    <x v="5"/>
    <x v="1"/>
    <x v="1"/>
    <x v="2"/>
    <x v="154"/>
    <x v="3"/>
    <x v="54"/>
    <x v="1"/>
  </r>
  <r>
    <x v="465"/>
    <x v="137"/>
    <x v="6"/>
    <x v="1"/>
    <x v="0"/>
    <x v="3"/>
    <x v="0"/>
    <x v="895"/>
    <x v="5"/>
    <x v="626"/>
    <x v="0"/>
  </r>
  <r>
    <x v="466"/>
    <x v="285"/>
    <x v="4"/>
    <x v="0"/>
    <x v="0"/>
    <x v="1"/>
    <x v="3"/>
    <x v="243"/>
    <x v="3"/>
    <x v="233"/>
    <x v="0"/>
  </r>
  <r>
    <x v="467"/>
    <x v="125"/>
    <x v="4"/>
    <x v="4"/>
    <x v="1"/>
    <x v="0"/>
    <x v="6"/>
    <x v="361"/>
    <x v="0"/>
    <x v="390"/>
    <x v="1"/>
  </r>
  <r>
    <x v="468"/>
    <x v="188"/>
    <x v="1"/>
    <x v="2"/>
    <x v="1"/>
    <x v="0"/>
    <x v="4"/>
    <x v="108"/>
    <x v="4"/>
    <x v="74"/>
    <x v="1"/>
  </r>
  <r>
    <x v="469"/>
    <x v="289"/>
    <x v="3"/>
    <x v="5"/>
    <x v="1"/>
    <x v="3"/>
    <x v="2"/>
    <x v="223"/>
    <x v="1"/>
    <x v="136"/>
    <x v="1"/>
  </r>
  <r>
    <x v="470"/>
    <x v="106"/>
    <x v="0"/>
    <x v="2"/>
    <x v="1"/>
    <x v="1"/>
    <x v="4"/>
    <x v="518"/>
    <x v="3"/>
    <x v="284"/>
    <x v="1"/>
  </r>
  <r>
    <x v="471"/>
    <x v="142"/>
    <x v="3"/>
    <x v="0"/>
    <x v="0"/>
    <x v="2"/>
    <x v="6"/>
    <x v="598"/>
    <x v="1"/>
    <x v="85"/>
    <x v="0"/>
  </r>
  <r>
    <x v="472"/>
    <x v="268"/>
    <x v="8"/>
    <x v="3"/>
    <x v="1"/>
    <x v="0"/>
    <x v="1"/>
    <x v="248"/>
    <x v="0"/>
    <x v="901"/>
    <x v="1"/>
  </r>
  <r>
    <x v="473"/>
    <x v="57"/>
    <x v="0"/>
    <x v="5"/>
    <x v="1"/>
    <x v="3"/>
    <x v="2"/>
    <x v="57"/>
    <x v="4"/>
    <x v="4"/>
    <x v="1"/>
  </r>
  <r>
    <x v="474"/>
    <x v="226"/>
    <x v="5"/>
    <x v="3"/>
    <x v="1"/>
    <x v="1"/>
    <x v="3"/>
    <x v="396"/>
    <x v="0"/>
    <x v="498"/>
    <x v="1"/>
  </r>
  <r>
    <x v="475"/>
    <x v="22"/>
    <x v="5"/>
    <x v="0"/>
    <x v="0"/>
    <x v="3"/>
    <x v="2"/>
    <x v="234"/>
    <x v="5"/>
    <x v="111"/>
    <x v="0"/>
  </r>
  <r>
    <x v="476"/>
    <x v="82"/>
    <x v="6"/>
    <x v="4"/>
    <x v="1"/>
    <x v="2"/>
    <x v="4"/>
    <x v="218"/>
    <x v="1"/>
    <x v="297"/>
    <x v="1"/>
  </r>
  <r>
    <x v="477"/>
    <x v="68"/>
    <x v="5"/>
    <x v="0"/>
    <x v="0"/>
    <x v="0"/>
    <x v="0"/>
    <x v="957"/>
    <x v="4"/>
    <x v="915"/>
    <x v="0"/>
  </r>
  <r>
    <x v="478"/>
    <x v="271"/>
    <x v="4"/>
    <x v="4"/>
    <x v="1"/>
    <x v="3"/>
    <x v="2"/>
    <x v="606"/>
    <x v="5"/>
    <x v="148"/>
    <x v="1"/>
  </r>
  <r>
    <x v="479"/>
    <x v="194"/>
    <x v="3"/>
    <x v="5"/>
    <x v="1"/>
    <x v="3"/>
    <x v="3"/>
    <x v="545"/>
    <x v="4"/>
    <x v="958"/>
    <x v="1"/>
  </r>
  <r>
    <x v="480"/>
    <x v="321"/>
    <x v="5"/>
    <x v="5"/>
    <x v="1"/>
    <x v="3"/>
    <x v="1"/>
    <x v="418"/>
    <x v="5"/>
    <x v="202"/>
    <x v="1"/>
  </r>
  <r>
    <x v="481"/>
    <x v="16"/>
    <x v="2"/>
    <x v="7"/>
    <x v="1"/>
    <x v="2"/>
    <x v="5"/>
    <x v="431"/>
    <x v="0"/>
    <x v="734"/>
    <x v="1"/>
  </r>
  <r>
    <x v="482"/>
    <x v="117"/>
    <x v="1"/>
    <x v="2"/>
    <x v="1"/>
    <x v="3"/>
    <x v="0"/>
    <x v="532"/>
    <x v="3"/>
    <x v="559"/>
    <x v="1"/>
  </r>
  <r>
    <x v="483"/>
    <x v="338"/>
    <x v="2"/>
    <x v="7"/>
    <x v="1"/>
    <x v="2"/>
    <x v="1"/>
    <x v="691"/>
    <x v="1"/>
    <x v="874"/>
    <x v="1"/>
  </r>
  <r>
    <x v="484"/>
    <x v="232"/>
    <x v="5"/>
    <x v="2"/>
    <x v="1"/>
    <x v="2"/>
    <x v="2"/>
    <x v="698"/>
    <x v="2"/>
    <x v="569"/>
    <x v="1"/>
  </r>
  <r>
    <x v="485"/>
    <x v="165"/>
    <x v="6"/>
    <x v="7"/>
    <x v="1"/>
    <x v="2"/>
    <x v="4"/>
    <x v="162"/>
    <x v="2"/>
    <x v="546"/>
    <x v="1"/>
  </r>
  <r>
    <x v="486"/>
    <x v="168"/>
    <x v="1"/>
    <x v="3"/>
    <x v="1"/>
    <x v="0"/>
    <x v="6"/>
    <x v="496"/>
    <x v="0"/>
    <x v="186"/>
    <x v="1"/>
  </r>
  <r>
    <x v="487"/>
    <x v="140"/>
    <x v="8"/>
    <x v="5"/>
    <x v="1"/>
    <x v="0"/>
    <x v="4"/>
    <x v="417"/>
    <x v="1"/>
    <x v="152"/>
    <x v="1"/>
  </r>
  <r>
    <x v="488"/>
    <x v="22"/>
    <x v="2"/>
    <x v="4"/>
    <x v="1"/>
    <x v="3"/>
    <x v="3"/>
    <x v="874"/>
    <x v="1"/>
    <x v="906"/>
    <x v="1"/>
  </r>
  <r>
    <x v="489"/>
    <x v="166"/>
    <x v="6"/>
    <x v="2"/>
    <x v="1"/>
    <x v="3"/>
    <x v="4"/>
    <x v="623"/>
    <x v="0"/>
    <x v="319"/>
    <x v="1"/>
  </r>
  <r>
    <x v="490"/>
    <x v="184"/>
    <x v="3"/>
    <x v="0"/>
    <x v="0"/>
    <x v="0"/>
    <x v="0"/>
    <x v="525"/>
    <x v="1"/>
    <x v="375"/>
    <x v="0"/>
  </r>
  <r>
    <x v="491"/>
    <x v="318"/>
    <x v="3"/>
    <x v="2"/>
    <x v="1"/>
    <x v="1"/>
    <x v="4"/>
    <x v="114"/>
    <x v="3"/>
    <x v="754"/>
    <x v="1"/>
  </r>
  <r>
    <x v="492"/>
    <x v="149"/>
    <x v="2"/>
    <x v="4"/>
    <x v="1"/>
    <x v="0"/>
    <x v="3"/>
    <x v="595"/>
    <x v="0"/>
    <x v="335"/>
    <x v="1"/>
  </r>
  <r>
    <x v="493"/>
    <x v="163"/>
    <x v="5"/>
    <x v="7"/>
    <x v="1"/>
    <x v="2"/>
    <x v="5"/>
    <x v="115"/>
    <x v="3"/>
    <x v="941"/>
    <x v="1"/>
  </r>
  <r>
    <x v="494"/>
    <x v="263"/>
    <x v="6"/>
    <x v="2"/>
    <x v="1"/>
    <x v="0"/>
    <x v="2"/>
    <x v="346"/>
    <x v="1"/>
    <x v="730"/>
    <x v="1"/>
  </r>
  <r>
    <x v="495"/>
    <x v="57"/>
    <x v="3"/>
    <x v="1"/>
    <x v="0"/>
    <x v="2"/>
    <x v="6"/>
    <x v="128"/>
    <x v="0"/>
    <x v="613"/>
    <x v="0"/>
  </r>
  <r>
    <x v="496"/>
    <x v="138"/>
    <x v="8"/>
    <x v="3"/>
    <x v="1"/>
    <x v="3"/>
    <x v="2"/>
    <x v="684"/>
    <x v="1"/>
    <x v="871"/>
    <x v="1"/>
  </r>
  <r>
    <x v="497"/>
    <x v="142"/>
    <x v="0"/>
    <x v="5"/>
    <x v="1"/>
    <x v="1"/>
    <x v="4"/>
    <x v="203"/>
    <x v="0"/>
    <x v="43"/>
    <x v="1"/>
  </r>
  <r>
    <x v="498"/>
    <x v="144"/>
    <x v="5"/>
    <x v="4"/>
    <x v="1"/>
    <x v="3"/>
    <x v="1"/>
    <x v="397"/>
    <x v="1"/>
    <x v="249"/>
    <x v="1"/>
  </r>
  <r>
    <x v="499"/>
    <x v="45"/>
    <x v="6"/>
    <x v="5"/>
    <x v="1"/>
    <x v="2"/>
    <x v="2"/>
    <x v="900"/>
    <x v="3"/>
    <x v="475"/>
    <x v="1"/>
  </r>
  <r>
    <x v="500"/>
    <x v="312"/>
    <x v="8"/>
    <x v="1"/>
    <x v="0"/>
    <x v="2"/>
    <x v="5"/>
    <x v="199"/>
    <x v="3"/>
    <x v="218"/>
    <x v="0"/>
  </r>
  <r>
    <x v="501"/>
    <x v="76"/>
    <x v="6"/>
    <x v="2"/>
    <x v="1"/>
    <x v="2"/>
    <x v="4"/>
    <x v="998"/>
    <x v="1"/>
    <x v="740"/>
    <x v="1"/>
  </r>
  <r>
    <x v="502"/>
    <x v="335"/>
    <x v="1"/>
    <x v="2"/>
    <x v="1"/>
    <x v="1"/>
    <x v="6"/>
    <x v="422"/>
    <x v="0"/>
    <x v="908"/>
    <x v="1"/>
  </r>
  <r>
    <x v="503"/>
    <x v="163"/>
    <x v="8"/>
    <x v="0"/>
    <x v="0"/>
    <x v="0"/>
    <x v="3"/>
    <x v="20"/>
    <x v="2"/>
    <x v="434"/>
    <x v="0"/>
  </r>
  <r>
    <x v="504"/>
    <x v="136"/>
    <x v="5"/>
    <x v="1"/>
    <x v="0"/>
    <x v="3"/>
    <x v="5"/>
    <x v="792"/>
    <x v="3"/>
    <x v="342"/>
    <x v="0"/>
  </r>
  <r>
    <x v="505"/>
    <x v="107"/>
    <x v="1"/>
    <x v="4"/>
    <x v="1"/>
    <x v="3"/>
    <x v="4"/>
    <x v="74"/>
    <x v="3"/>
    <x v="954"/>
    <x v="1"/>
  </r>
  <r>
    <x v="506"/>
    <x v="317"/>
    <x v="5"/>
    <x v="0"/>
    <x v="0"/>
    <x v="0"/>
    <x v="5"/>
    <x v="476"/>
    <x v="5"/>
    <x v="459"/>
    <x v="0"/>
  </r>
  <r>
    <x v="507"/>
    <x v="57"/>
    <x v="3"/>
    <x v="3"/>
    <x v="1"/>
    <x v="3"/>
    <x v="2"/>
    <x v="548"/>
    <x v="2"/>
    <x v="505"/>
    <x v="1"/>
  </r>
  <r>
    <x v="508"/>
    <x v="175"/>
    <x v="0"/>
    <x v="0"/>
    <x v="0"/>
    <x v="1"/>
    <x v="6"/>
    <x v="620"/>
    <x v="1"/>
    <x v="355"/>
    <x v="0"/>
  </r>
  <r>
    <x v="509"/>
    <x v="334"/>
    <x v="5"/>
    <x v="6"/>
    <x v="1"/>
    <x v="3"/>
    <x v="3"/>
    <x v="681"/>
    <x v="0"/>
    <x v="898"/>
    <x v="1"/>
  </r>
  <r>
    <x v="510"/>
    <x v="45"/>
    <x v="5"/>
    <x v="4"/>
    <x v="1"/>
    <x v="2"/>
    <x v="4"/>
    <x v="261"/>
    <x v="5"/>
    <x v="581"/>
    <x v="1"/>
  </r>
  <r>
    <x v="511"/>
    <x v="302"/>
    <x v="3"/>
    <x v="6"/>
    <x v="1"/>
    <x v="0"/>
    <x v="0"/>
    <x v="11"/>
    <x v="1"/>
    <x v="758"/>
    <x v="1"/>
  </r>
  <r>
    <x v="512"/>
    <x v="238"/>
    <x v="4"/>
    <x v="1"/>
    <x v="0"/>
    <x v="1"/>
    <x v="3"/>
    <x v="721"/>
    <x v="4"/>
    <x v="806"/>
    <x v="0"/>
  </r>
  <r>
    <x v="513"/>
    <x v="207"/>
    <x v="3"/>
    <x v="7"/>
    <x v="1"/>
    <x v="0"/>
    <x v="0"/>
    <x v="527"/>
    <x v="3"/>
    <x v="340"/>
    <x v="1"/>
  </r>
  <r>
    <x v="514"/>
    <x v="129"/>
    <x v="1"/>
    <x v="6"/>
    <x v="1"/>
    <x v="1"/>
    <x v="5"/>
    <x v="837"/>
    <x v="4"/>
    <x v="446"/>
    <x v="1"/>
  </r>
  <r>
    <x v="515"/>
    <x v="199"/>
    <x v="3"/>
    <x v="3"/>
    <x v="1"/>
    <x v="2"/>
    <x v="1"/>
    <x v="822"/>
    <x v="3"/>
    <x v="834"/>
    <x v="1"/>
  </r>
  <r>
    <x v="516"/>
    <x v="195"/>
    <x v="3"/>
    <x v="0"/>
    <x v="0"/>
    <x v="0"/>
    <x v="3"/>
    <x v="848"/>
    <x v="3"/>
    <x v="367"/>
    <x v="0"/>
  </r>
  <r>
    <x v="517"/>
    <x v="294"/>
    <x v="0"/>
    <x v="7"/>
    <x v="1"/>
    <x v="3"/>
    <x v="5"/>
    <x v="484"/>
    <x v="4"/>
    <x v="785"/>
    <x v="1"/>
  </r>
  <r>
    <x v="518"/>
    <x v="29"/>
    <x v="3"/>
    <x v="0"/>
    <x v="0"/>
    <x v="1"/>
    <x v="0"/>
    <x v="342"/>
    <x v="4"/>
    <x v="930"/>
    <x v="0"/>
  </r>
  <r>
    <x v="519"/>
    <x v="146"/>
    <x v="6"/>
    <x v="6"/>
    <x v="1"/>
    <x v="0"/>
    <x v="2"/>
    <x v="789"/>
    <x v="1"/>
    <x v="636"/>
    <x v="1"/>
  </r>
  <r>
    <x v="520"/>
    <x v="263"/>
    <x v="5"/>
    <x v="0"/>
    <x v="0"/>
    <x v="3"/>
    <x v="2"/>
    <x v="457"/>
    <x v="5"/>
    <x v="735"/>
    <x v="0"/>
  </r>
  <r>
    <x v="521"/>
    <x v="281"/>
    <x v="6"/>
    <x v="1"/>
    <x v="0"/>
    <x v="0"/>
    <x v="1"/>
    <x v="173"/>
    <x v="5"/>
    <x v="799"/>
    <x v="0"/>
  </r>
  <r>
    <x v="522"/>
    <x v="264"/>
    <x v="0"/>
    <x v="7"/>
    <x v="1"/>
    <x v="0"/>
    <x v="3"/>
    <x v="858"/>
    <x v="4"/>
    <x v="831"/>
    <x v="1"/>
  </r>
  <r>
    <x v="523"/>
    <x v="132"/>
    <x v="2"/>
    <x v="1"/>
    <x v="0"/>
    <x v="0"/>
    <x v="3"/>
    <x v="885"/>
    <x v="1"/>
    <x v="402"/>
    <x v="0"/>
  </r>
  <r>
    <x v="524"/>
    <x v="18"/>
    <x v="4"/>
    <x v="6"/>
    <x v="1"/>
    <x v="1"/>
    <x v="3"/>
    <x v="471"/>
    <x v="5"/>
    <x v="45"/>
    <x v="1"/>
  </r>
  <r>
    <x v="525"/>
    <x v="17"/>
    <x v="6"/>
    <x v="1"/>
    <x v="0"/>
    <x v="3"/>
    <x v="5"/>
    <x v="81"/>
    <x v="1"/>
    <x v="407"/>
    <x v="0"/>
  </r>
  <r>
    <x v="526"/>
    <x v="238"/>
    <x v="0"/>
    <x v="3"/>
    <x v="1"/>
    <x v="2"/>
    <x v="6"/>
    <x v="393"/>
    <x v="1"/>
    <x v="672"/>
    <x v="1"/>
  </r>
  <r>
    <x v="527"/>
    <x v="71"/>
    <x v="1"/>
    <x v="6"/>
    <x v="1"/>
    <x v="1"/>
    <x v="6"/>
    <x v="804"/>
    <x v="3"/>
    <x v="465"/>
    <x v="1"/>
  </r>
  <r>
    <x v="528"/>
    <x v="161"/>
    <x v="2"/>
    <x v="6"/>
    <x v="1"/>
    <x v="1"/>
    <x v="1"/>
    <x v="904"/>
    <x v="5"/>
    <x v="743"/>
    <x v="1"/>
  </r>
  <r>
    <x v="529"/>
    <x v="180"/>
    <x v="0"/>
    <x v="6"/>
    <x v="1"/>
    <x v="1"/>
    <x v="3"/>
    <x v="198"/>
    <x v="5"/>
    <x v="362"/>
    <x v="1"/>
  </r>
  <r>
    <x v="530"/>
    <x v="103"/>
    <x v="0"/>
    <x v="4"/>
    <x v="1"/>
    <x v="2"/>
    <x v="5"/>
    <x v="66"/>
    <x v="3"/>
    <x v="644"/>
    <x v="1"/>
  </r>
  <r>
    <x v="531"/>
    <x v="104"/>
    <x v="4"/>
    <x v="0"/>
    <x v="0"/>
    <x v="3"/>
    <x v="2"/>
    <x v="880"/>
    <x v="4"/>
    <x v="176"/>
    <x v="0"/>
  </r>
  <r>
    <x v="532"/>
    <x v="205"/>
    <x v="5"/>
    <x v="4"/>
    <x v="1"/>
    <x v="3"/>
    <x v="0"/>
    <x v="395"/>
    <x v="3"/>
    <x v="744"/>
    <x v="1"/>
  </r>
  <r>
    <x v="533"/>
    <x v="154"/>
    <x v="6"/>
    <x v="4"/>
    <x v="1"/>
    <x v="3"/>
    <x v="5"/>
    <x v="533"/>
    <x v="5"/>
    <x v="557"/>
    <x v="1"/>
  </r>
  <r>
    <x v="534"/>
    <x v="295"/>
    <x v="1"/>
    <x v="3"/>
    <x v="1"/>
    <x v="0"/>
    <x v="6"/>
    <x v="967"/>
    <x v="5"/>
    <x v="198"/>
    <x v="1"/>
  </r>
  <r>
    <x v="535"/>
    <x v="121"/>
    <x v="8"/>
    <x v="7"/>
    <x v="1"/>
    <x v="0"/>
    <x v="6"/>
    <x v="65"/>
    <x v="4"/>
    <x v="281"/>
    <x v="1"/>
  </r>
  <r>
    <x v="536"/>
    <x v="245"/>
    <x v="6"/>
    <x v="0"/>
    <x v="0"/>
    <x v="0"/>
    <x v="2"/>
    <x v="633"/>
    <x v="3"/>
    <x v="742"/>
    <x v="0"/>
  </r>
  <r>
    <x v="537"/>
    <x v="50"/>
    <x v="8"/>
    <x v="1"/>
    <x v="0"/>
    <x v="2"/>
    <x v="2"/>
    <x v="79"/>
    <x v="0"/>
    <x v="494"/>
    <x v="0"/>
  </r>
  <r>
    <x v="538"/>
    <x v="333"/>
    <x v="0"/>
    <x v="2"/>
    <x v="1"/>
    <x v="0"/>
    <x v="0"/>
    <x v="386"/>
    <x v="0"/>
    <x v="211"/>
    <x v="1"/>
  </r>
  <r>
    <x v="539"/>
    <x v="120"/>
    <x v="3"/>
    <x v="6"/>
    <x v="1"/>
    <x v="2"/>
    <x v="2"/>
    <x v="806"/>
    <x v="4"/>
    <x v="965"/>
    <x v="1"/>
  </r>
  <r>
    <x v="540"/>
    <x v="266"/>
    <x v="1"/>
    <x v="1"/>
    <x v="0"/>
    <x v="3"/>
    <x v="1"/>
    <x v="438"/>
    <x v="3"/>
    <x v="707"/>
    <x v="0"/>
  </r>
  <r>
    <x v="541"/>
    <x v="247"/>
    <x v="2"/>
    <x v="6"/>
    <x v="1"/>
    <x v="0"/>
    <x v="0"/>
    <x v="993"/>
    <x v="3"/>
    <x v="949"/>
    <x v="1"/>
  </r>
  <r>
    <x v="542"/>
    <x v="150"/>
    <x v="3"/>
    <x v="3"/>
    <x v="1"/>
    <x v="0"/>
    <x v="2"/>
    <x v="547"/>
    <x v="1"/>
    <x v="437"/>
    <x v="1"/>
  </r>
  <r>
    <x v="543"/>
    <x v="79"/>
    <x v="3"/>
    <x v="6"/>
    <x v="1"/>
    <x v="1"/>
    <x v="4"/>
    <x v="329"/>
    <x v="5"/>
    <x v="488"/>
    <x v="1"/>
  </r>
  <r>
    <x v="544"/>
    <x v="50"/>
    <x v="6"/>
    <x v="4"/>
    <x v="1"/>
    <x v="2"/>
    <x v="5"/>
    <x v="219"/>
    <x v="2"/>
    <x v="890"/>
    <x v="1"/>
  </r>
  <r>
    <x v="545"/>
    <x v="266"/>
    <x v="1"/>
    <x v="0"/>
    <x v="0"/>
    <x v="3"/>
    <x v="2"/>
    <x v="356"/>
    <x v="4"/>
    <x v="540"/>
    <x v="0"/>
  </r>
  <r>
    <x v="546"/>
    <x v="164"/>
    <x v="5"/>
    <x v="2"/>
    <x v="1"/>
    <x v="1"/>
    <x v="1"/>
    <x v="382"/>
    <x v="2"/>
    <x v="704"/>
    <x v="1"/>
  </r>
  <r>
    <x v="547"/>
    <x v="323"/>
    <x v="0"/>
    <x v="5"/>
    <x v="1"/>
    <x v="1"/>
    <x v="3"/>
    <x v="72"/>
    <x v="2"/>
    <x v="245"/>
    <x v="1"/>
  </r>
  <r>
    <x v="548"/>
    <x v="7"/>
    <x v="0"/>
    <x v="6"/>
    <x v="1"/>
    <x v="3"/>
    <x v="2"/>
    <x v="375"/>
    <x v="4"/>
    <x v="462"/>
    <x v="1"/>
  </r>
  <r>
    <x v="549"/>
    <x v="297"/>
    <x v="0"/>
    <x v="1"/>
    <x v="0"/>
    <x v="1"/>
    <x v="6"/>
    <x v="468"/>
    <x v="3"/>
    <x v="112"/>
    <x v="0"/>
  </r>
  <r>
    <x v="550"/>
    <x v="289"/>
    <x v="0"/>
    <x v="4"/>
    <x v="1"/>
    <x v="2"/>
    <x v="6"/>
    <x v="720"/>
    <x v="4"/>
    <x v="203"/>
    <x v="1"/>
  </r>
  <r>
    <x v="551"/>
    <x v="229"/>
    <x v="6"/>
    <x v="5"/>
    <x v="1"/>
    <x v="2"/>
    <x v="6"/>
    <x v="643"/>
    <x v="2"/>
    <x v="3"/>
    <x v="1"/>
  </r>
  <r>
    <x v="552"/>
    <x v="299"/>
    <x v="8"/>
    <x v="2"/>
    <x v="1"/>
    <x v="0"/>
    <x v="3"/>
    <x v="707"/>
    <x v="5"/>
    <x v="32"/>
    <x v="1"/>
  </r>
  <r>
    <x v="553"/>
    <x v="236"/>
    <x v="0"/>
    <x v="5"/>
    <x v="1"/>
    <x v="1"/>
    <x v="6"/>
    <x v="8"/>
    <x v="5"/>
    <x v="975"/>
    <x v="1"/>
  </r>
  <r>
    <x v="554"/>
    <x v="303"/>
    <x v="8"/>
    <x v="4"/>
    <x v="1"/>
    <x v="0"/>
    <x v="4"/>
    <x v="214"/>
    <x v="5"/>
    <x v="235"/>
    <x v="1"/>
  </r>
  <r>
    <x v="555"/>
    <x v="49"/>
    <x v="8"/>
    <x v="0"/>
    <x v="0"/>
    <x v="1"/>
    <x v="2"/>
    <x v="649"/>
    <x v="3"/>
    <x v="664"/>
    <x v="0"/>
  </r>
  <r>
    <x v="556"/>
    <x v="230"/>
    <x v="5"/>
    <x v="0"/>
    <x v="0"/>
    <x v="2"/>
    <x v="6"/>
    <x v="482"/>
    <x v="0"/>
    <x v="828"/>
    <x v="0"/>
  </r>
  <r>
    <x v="557"/>
    <x v="221"/>
    <x v="0"/>
    <x v="7"/>
    <x v="1"/>
    <x v="2"/>
    <x v="0"/>
    <x v="4"/>
    <x v="4"/>
    <x v="566"/>
    <x v="1"/>
  </r>
  <r>
    <x v="558"/>
    <x v="212"/>
    <x v="4"/>
    <x v="0"/>
    <x v="0"/>
    <x v="2"/>
    <x v="3"/>
    <x v="808"/>
    <x v="5"/>
    <x v="140"/>
    <x v="0"/>
  </r>
  <r>
    <x v="559"/>
    <x v="61"/>
    <x v="2"/>
    <x v="7"/>
    <x v="1"/>
    <x v="1"/>
    <x v="4"/>
    <x v="775"/>
    <x v="4"/>
    <x v="721"/>
    <x v="1"/>
  </r>
  <r>
    <x v="560"/>
    <x v="46"/>
    <x v="3"/>
    <x v="5"/>
    <x v="1"/>
    <x v="2"/>
    <x v="0"/>
    <x v="538"/>
    <x v="5"/>
    <x v="616"/>
    <x v="1"/>
  </r>
  <r>
    <x v="561"/>
    <x v="88"/>
    <x v="8"/>
    <x v="3"/>
    <x v="1"/>
    <x v="1"/>
    <x v="0"/>
    <x v="64"/>
    <x v="3"/>
    <x v="724"/>
    <x v="1"/>
  </r>
  <r>
    <x v="562"/>
    <x v="83"/>
    <x v="1"/>
    <x v="1"/>
    <x v="0"/>
    <x v="0"/>
    <x v="0"/>
    <x v="770"/>
    <x v="0"/>
    <x v="769"/>
    <x v="0"/>
  </r>
  <r>
    <x v="563"/>
    <x v="245"/>
    <x v="1"/>
    <x v="1"/>
    <x v="0"/>
    <x v="1"/>
    <x v="0"/>
    <x v="574"/>
    <x v="0"/>
    <x v="971"/>
    <x v="0"/>
  </r>
  <r>
    <x v="564"/>
    <x v="268"/>
    <x v="2"/>
    <x v="5"/>
    <x v="1"/>
    <x v="0"/>
    <x v="2"/>
    <x v="782"/>
    <x v="5"/>
    <x v="588"/>
    <x v="1"/>
  </r>
  <r>
    <x v="565"/>
    <x v="87"/>
    <x v="1"/>
    <x v="6"/>
    <x v="1"/>
    <x v="1"/>
    <x v="6"/>
    <x v="751"/>
    <x v="3"/>
    <x v="339"/>
    <x v="1"/>
  </r>
  <r>
    <x v="566"/>
    <x v="80"/>
    <x v="4"/>
    <x v="6"/>
    <x v="1"/>
    <x v="0"/>
    <x v="5"/>
    <x v="803"/>
    <x v="1"/>
    <x v="655"/>
    <x v="1"/>
  </r>
  <r>
    <x v="567"/>
    <x v="71"/>
    <x v="1"/>
    <x v="0"/>
    <x v="0"/>
    <x v="2"/>
    <x v="2"/>
    <x v="516"/>
    <x v="4"/>
    <x v="65"/>
    <x v="0"/>
  </r>
  <r>
    <x v="568"/>
    <x v="266"/>
    <x v="3"/>
    <x v="1"/>
    <x v="0"/>
    <x v="0"/>
    <x v="2"/>
    <x v="126"/>
    <x v="4"/>
    <x v="889"/>
    <x v="0"/>
  </r>
  <r>
    <x v="569"/>
    <x v="109"/>
    <x v="3"/>
    <x v="1"/>
    <x v="0"/>
    <x v="2"/>
    <x v="4"/>
    <x v="662"/>
    <x v="2"/>
    <x v="106"/>
    <x v="0"/>
  </r>
  <r>
    <x v="570"/>
    <x v="278"/>
    <x v="8"/>
    <x v="7"/>
    <x v="1"/>
    <x v="2"/>
    <x v="4"/>
    <x v="609"/>
    <x v="3"/>
    <x v="320"/>
    <x v="1"/>
  </r>
  <r>
    <x v="571"/>
    <x v="153"/>
    <x v="0"/>
    <x v="3"/>
    <x v="1"/>
    <x v="0"/>
    <x v="6"/>
    <x v="741"/>
    <x v="2"/>
    <x v="810"/>
    <x v="1"/>
  </r>
  <r>
    <x v="572"/>
    <x v="168"/>
    <x v="5"/>
    <x v="4"/>
    <x v="1"/>
    <x v="1"/>
    <x v="5"/>
    <x v="160"/>
    <x v="5"/>
    <x v="612"/>
    <x v="1"/>
  </r>
  <r>
    <x v="573"/>
    <x v="206"/>
    <x v="4"/>
    <x v="6"/>
    <x v="1"/>
    <x v="1"/>
    <x v="4"/>
    <x v="187"/>
    <x v="2"/>
    <x v="399"/>
    <x v="1"/>
  </r>
  <r>
    <x v="574"/>
    <x v="287"/>
    <x v="8"/>
    <x v="1"/>
    <x v="0"/>
    <x v="3"/>
    <x v="6"/>
    <x v="894"/>
    <x v="0"/>
    <x v="483"/>
    <x v="0"/>
  </r>
  <r>
    <x v="575"/>
    <x v="6"/>
    <x v="4"/>
    <x v="7"/>
    <x v="1"/>
    <x v="1"/>
    <x v="6"/>
    <x v="746"/>
    <x v="4"/>
    <x v="839"/>
    <x v="1"/>
  </r>
  <r>
    <x v="576"/>
    <x v="305"/>
    <x v="0"/>
    <x v="2"/>
    <x v="1"/>
    <x v="3"/>
    <x v="1"/>
    <x v="910"/>
    <x v="2"/>
    <x v="337"/>
    <x v="1"/>
  </r>
  <r>
    <x v="577"/>
    <x v="244"/>
    <x v="6"/>
    <x v="7"/>
    <x v="1"/>
    <x v="1"/>
    <x v="5"/>
    <x v="758"/>
    <x v="0"/>
    <x v="860"/>
    <x v="1"/>
  </r>
  <r>
    <x v="578"/>
    <x v="149"/>
    <x v="1"/>
    <x v="6"/>
    <x v="1"/>
    <x v="1"/>
    <x v="4"/>
    <x v="589"/>
    <x v="3"/>
    <x v="84"/>
    <x v="1"/>
  </r>
  <r>
    <x v="579"/>
    <x v="139"/>
    <x v="1"/>
    <x v="6"/>
    <x v="1"/>
    <x v="2"/>
    <x v="5"/>
    <x v="638"/>
    <x v="2"/>
    <x v="774"/>
    <x v="1"/>
  </r>
  <r>
    <x v="580"/>
    <x v="77"/>
    <x v="5"/>
    <x v="7"/>
    <x v="1"/>
    <x v="3"/>
    <x v="2"/>
    <x v="892"/>
    <x v="5"/>
    <x v="833"/>
    <x v="1"/>
  </r>
  <r>
    <x v="581"/>
    <x v="135"/>
    <x v="0"/>
    <x v="4"/>
    <x v="1"/>
    <x v="1"/>
    <x v="2"/>
    <x v="566"/>
    <x v="5"/>
    <x v="171"/>
    <x v="1"/>
  </r>
  <r>
    <x v="582"/>
    <x v="102"/>
    <x v="8"/>
    <x v="5"/>
    <x v="1"/>
    <x v="3"/>
    <x v="5"/>
    <x v="625"/>
    <x v="5"/>
    <x v="442"/>
    <x v="1"/>
  </r>
  <r>
    <x v="583"/>
    <x v="32"/>
    <x v="5"/>
    <x v="6"/>
    <x v="1"/>
    <x v="2"/>
    <x v="1"/>
    <x v="142"/>
    <x v="4"/>
    <x v="150"/>
    <x v="1"/>
  </r>
  <r>
    <x v="584"/>
    <x v="263"/>
    <x v="0"/>
    <x v="7"/>
    <x v="1"/>
    <x v="2"/>
    <x v="1"/>
    <x v="475"/>
    <x v="2"/>
    <x v="703"/>
    <x v="1"/>
  </r>
  <r>
    <x v="585"/>
    <x v="174"/>
    <x v="2"/>
    <x v="1"/>
    <x v="0"/>
    <x v="3"/>
    <x v="5"/>
    <x v="716"/>
    <x v="3"/>
    <x v="547"/>
    <x v="0"/>
  </r>
  <r>
    <x v="586"/>
    <x v="74"/>
    <x v="3"/>
    <x v="7"/>
    <x v="1"/>
    <x v="2"/>
    <x v="4"/>
    <x v="280"/>
    <x v="2"/>
    <x v="646"/>
    <x v="1"/>
  </r>
  <r>
    <x v="587"/>
    <x v="1"/>
    <x v="5"/>
    <x v="3"/>
    <x v="1"/>
    <x v="0"/>
    <x v="3"/>
    <x v="196"/>
    <x v="4"/>
    <x v="189"/>
    <x v="1"/>
  </r>
  <r>
    <x v="588"/>
    <x v="279"/>
    <x v="5"/>
    <x v="5"/>
    <x v="1"/>
    <x v="0"/>
    <x v="1"/>
    <x v="325"/>
    <x v="0"/>
    <x v="209"/>
    <x v="1"/>
  </r>
  <r>
    <x v="589"/>
    <x v="183"/>
    <x v="8"/>
    <x v="2"/>
    <x v="1"/>
    <x v="2"/>
    <x v="0"/>
    <x v="242"/>
    <x v="4"/>
    <x v="37"/>
    <x v="1"/>
  </r>
  <r>
    <x v="590"/>
    <x v="10"/>
    <x v="4"/>
    <x v="4"/>
    <x v="1"/>
    <x v="0"/>
    <x v="2"/>
    <x v="213"/>
    <x v="5"/>
    <x v="316"/>
    <x v="1"/>
  </r>
  <r>
    <x v="591"/>
    <x v="216"/>
    <x v="2"/>
    <x v="0"/>
    <x v="0"/>
    <x v="1"/>
    <x v="5"/>
    <x v="427"/>
    <x v="0"/>
    <x v="575"/>
    <x v="0"/>
  </r>
  <r>
    <x v="592"/>
    <x v="181"/>
    <x v="8"/>
    <x v="2"/>
    <x v="1"/>
    <x v="3"/>
    <x v="0"/>
    <x v="908"/>
    <x v="5"/>
    <x v="843"/>
    <x v="1"/>
  </r>
  <r>
    <x v="593"/>
    <x v="108"/>
    <x v="0"/>
    <x v="5"/>
    <x v="1"/>
    <x v="1"/>
    <x v="5"/>
    <x v="508"/>
    <x v="1"/>
    <x v="667"/>
    <x v="1"/>
  </r>
  <r>
    <x v="594"/>
    <x v="19"/>
    <x v="0"/>
    <x v="5"/>
    <x v="1"/>
    <x v="3"/>
    <x v="6"/>
    <x v="180"/>
    <x v="4"/>
    <x v="449"/>
    <x v="1"/>
  </r>
  <r>
    <x v="595"/>
    <x v="242"/>
    <x v="0"/>
    <x v="5"/>
    <x v="1"/>
    <x v="2"/>
    <x v="2"/>
    <x v="83"/>
    <x v="4"/>
    <x v="943"/>
    <x v="1"/>
  </r>
  <r>
    <x v="596"/>
    <x v="270"/>
    <x v="6"/>
    <x v="2"/>
    <x v="1"/>
    <x v="1"/>
    <x v="2"/>
    <x v="690"/>
    <x v="3"/>
    <x v="713"/>
    <x v="1"/>
  </r>
  <r>
    <x v="597"/>
    <x v="237"/>
    <x v="0"/>
    <x v="1"/>
    <x v="0"/>
    <x v="2"/>
    <x v="1"/>
    <x v="389"/>
    <x v="2"/>
    <x v="919"/>
    <x v="0"/>
  </r>
  <r>
    <x v="598"/>
    <x v="205"/>
    <x v="4"/>
    <x v="5"/>
    <x v="1"/>
    <x v="2"/>
    <x v="1"/>
    <x v="823"/>
    <x v="0"/>
    <x v="542"/>
    <x v="1"/>
  </r>
  <r>
    <x v="599"/>
    <x v="209"/>
    <x v="2"/>
    <x v="7"/>
    <x v="1"/>
    <x v="3"/>
    <x v="0"/>
    <x v="646"/>
    <x v="0"/>
    <x v="252"/>
    <x v="1"/>
  </r>
  <r>
    <x v="600"/>
    <x v="48"/>
    <x v="1"/>
    <x v="2"/>
    <x v="1"/>
    <x v="3"/>
    <x v="6"/>
    <x v="795"/>
    <x v="3"/>
    <x v="48"/>
    <x v="1"/>
  </r>
  <r>
    <x v="601"/>
    <x v="329"/>
    <x v="3"/>
    <x v="0"/>
    <x v="0"/>
    <x v="3"/>
    <x v="5"/>
    <x v="283"/>
    <x v="3"/>
    <x v="719"/>
    <x v="0"/>
  </r>
  <r>
    <x v="602"/>
    <x v="317"/>
    <x v="4"/>
    <x v="5"/>
    <x v="1"/>
    <x v="1"/>
    <x v="6"/>
    <x v="685"/>
    <x v="2"/>
    <x v="109"/>
    <x v="1"/>
  </r>
  <r>
    <x v="603"/>
    <x v="338"/>
    <x v="4"/>
    <x v="7"/>
    <x v="1"/>
    <x v="0"/>
    <x v="2"/>
    <x v="269"/>
    <x v="5"/>
    <x v="291"/>
    <x v="1"/>
  </r>
  <r>
    <x v="604"/>
    <x v="258"/>
    <x v="6"/>
    <x v="1"/>
    <x v="0"/>
    <x v="3"/>
    <x v="0"/>
    <x v="936"/>
    <x v="2"/>
    <x v="544"/>
    <x v="0"/>
  </r>
  <r>
    <x v="605"/>
    <x v="73"/>
    <x v="1"/>
    <x v="3"/>
    <x v="1"/>
    <x v="3"/>
    <x v="3"/>
    <x v="628"/>
    <x v="4"/>
    <x v="577"/>
    <x v="1"/>
  </r>
  <r>
    <x v="606"/>
    <x v="188"/>
    <x v="1"/>
    <x v="1"/>
    <x v="0"/>
    <x v="1"/>
    <x v="0"/>
    <x v="332"/>
    <x v="5"/>
    <x v="617"/>
    <x v="0"/>
  </r>
  <r>
    <x v="607"/>
    <x v="146"/>
    <x v="3"/>
    <x v="0"/>
    <x v="0"/>
    <x v="3"/>
    <x v="4"/>
    <x v="278"/>
    <x v="1"/>
    <x v="153"/>
    <x v="0"/>
  </r>
  <r>
    <x v="608"/>
    <x v="109"/>
    <x v="3"/>
    <x v="5"/>
    <x v="1"/>
    <x v="1"/>
    <x v="0"/>
    <x v="184"/>
    <x v="2"/>
    <x v="383"/>
    <x v="1"/>
  </r>
  <r>
    <x v="609"/>
    <x v="53"/>
    <x v="1"/>
    <x v="0"/>
    <x v="0"/>
    <x v="2"/>
    <x v="6"/>
    <x v="689"/>
    <x v="3"/>
    <x v="634"/>
    <x v="0"/>
  </r>
  <r>
    <x v="610"/>
    <x v="199"/>
    <x v="0"/>
    <x v="2"/>
    <x v="1"/>
    <x v="3"/>
    <x v="4"/>
    <x v="217"/>
    <x v="5"/>
    <x v="966"/>
    <x v="1"/>
  </r>
  <r>
    <x v="611"/>
    <x v="117"/>
    <x v="4"/>
    <x v="6"/>
    <x v="1"/>
    <x v="3"/>
    <x v="4"/>
    <x v="586"/>
    <x v="2"/>
    <x v="720"/>
    <x v="1"/>
  </r>
  <r>
    <x v="612"/>
    <x v="207"/>
    <x v="8"/>
    <x v="5"/>
    <x v="1"/>
    <x v="2"/>
    <x v="4"/>
    <x v="271"/>
    <x v="0"/>
    <x v="912"/>
    <x v="1"/>
  </r>
  <r>
    <x v="613"/>
    <x v="193"/>
    <x v="3"/>
    <x v="6"/>
    <x v="1"/>
    <x v="2"/>
    <x v="3"/>
    <x v="651"/>
    <x v="1"/>
    <x v="759"/>
    <x v="1"/>
  </r>
  <r>
    <x v="614"/>
    <x v="105"/>
    <x v="6"/>
    <x v="7"/>
    <x v="1"/>
    <x v="2"/>
    <x v="0"/>
    <x v="817"/>
    <x v="4"/>
    <x v="606"/>
    <x v="1"/>
  </r>
  <r>
    <x v="615"/>
    <x v="193"/>
    <x v="6"/>
    <x v="3"/>
    <x v="1"/>
    <x v="3"/>
    <x v="6"/>
    <x v="778"/>
    <x v="0"/>
    <x v="182"/>
    <x v="1"/>
  </r>
  <r>
    <x v="616"/>
    <x v="13"/>
    <x v="3"/>
    <x v="4"/>
    <x v="1"/>
    <x v="0"/>
    <x v="0"/>
    <x v="763"/>
    <x v="0"/>
    <x v="666"/>
    <x v="1"/>
  </r>
  <r>
    <x v="617"/>
    <x v="8"/>
    <x v="1"/>
    <x v="0"/>
    <x v="0"/>
    <x v="0"/>
    <x v="3"/>
    <x v="179"/>
    <x v="1"/>
    <x v="637"/>
    <x v="0"/>
  </r>
  <r>
    <x v="618"/>
    <x v="36"/>
    <x v="2"/>
    <x v="1"/>
    <x v="0"/>
    <x v="0"/>
    <x v="2"/>
    <x v="94"/>
    <x v="4"/>
    <x v="620"/>
    <x v="0"/>
  </r>
  <r>
    <x v="619"/>
    <x v="219"/>
    <x v="8"/>
    <x v="3"/>
    <x v="1"/>
    <x v="3"/>
    <x v="1"/>
    <x v="694"/>
    <x v="3"/>
    <x v="506"/>
    <x v="1"/>
  </r>
  <r>
    <x v="620"/>
    <x v="259"/>
    <x v="8"/>
    <x v="5"/>
    <x v="1"/>
    <x v="2"/>
    <x v="6"/>
    <x v="372"/>
    <x v="5"/>
    <x v="543"/>
    <x v="1"/>
  </r>
  <r>
    <x v="621"/>
    <x v="333"/>
    <x v="3"/>
    <x v="6"/>
    <x v="1"/>
    <x v="3"/>
    <x v="6"/>
    <x v="435"/>
    <x v="4"/>
    <x v="329"/>
    <x v="1"/>
  </r>
  <r>
    <x v="622"/>
    <x v="187"/>
    <x v="0"/>
    <x v="1"/>
    <x v="0"/>
    <x v="2"/>
    <x v="0"/>
    <x v="32"/>
    <x v="2"/>
    <x v="536"/>
    <x v="0"/>
  </r>
  <r>
    <x v="623"/>
    <x v="228"/>
    <x v="2"/>
    <x v="6"/>
    <x v="1"/>
    <x v="3"/>
    <x v="1"/>
    <x v="265"/>
    <x v="0"/>
    <x v="191"/>
    <x v="1"/>
  </r>
  <r>
    <x v="624"/>
    <x v="257"/>
    <x v="8"/>
    <x v="2"/>
    <x v="1"/>
    <x v="3"/>
    <x v="5"/>
    <x v="34"/>
    <x v="2"/>
    <x v="800"/>
    <x v="1"/>
  </r>
  <r>
    <x v="625"/>
    <x v="217"/>
    <x v="3"/>
    <x v="6"/>
    <x v="1"/>
    <x v="2"/>
    <x v="5"/>
    <x v="882"/>
    <x v="3"/>
    <x v="175"/>
    <x v="1"/>
  </r>
  <r>
    <x v="626"/>
    <x v="3"/>
    <x v="6"/>
    <x v="2"/>
    <x v="1"/>
    <x v="0"/>
    <x v="3"/>
    <x v="247"/>
    <x v="2"/>
    <x v="78"/>
    <x v="1"/>
  </r>
  <r>
    <x v="627"/>
    <x v="142"/>
    <x v="8"/>
    <x v="7"/>
    <x v="1"/>
    <x v="2"/>
    <x v="5"/>
    <x v="546"/>
    <x v="4"/>
    <x v="450"/>
    <x v="1"/>
  </r>
  <r>
    <x v="628"/>
    <x v="26"/>
    <x v="5"/>
    <x v="1"/>
    <x v="0"/>
    <x v="1"/>
    <x v="6"/>
    <x v="40"/>
    <x v="2"/>
    <x v="659"/>
    <x v="0"/>
  </r>
  <r>
    <x v="629"/>
    <x v="99"/>
    <x v="2"/>
    <x v="1"/>
    <x v="0"/>
    <x v="1"/>
    <x v="5"/>
    <x v="658"/>
    <x v="3"/>
    <x v="451"/>
    <x v="0"/>
  </r>
  <r>
    <x v="630"/>
    <x v="89"/>
    <x v="2"/>
    <x v="4"/>
    <x v="1"/>
    <x v="2"/>
    <x v="2"/>
    <x v="331"/>
    <x v="3"/>
    <x v="263"/>
    <x v="1"/>
  </r>
  <r>
    <x v="631"/>
    <x v="199"/>
    <x v="5"/>
    <x v="5"/>
    <x v="1"/>
    <x v="3"/>
    <x v="2"/>
    <x v="902"/>
    <x v="3"/>
    <x v="573"/>
    <x v="1"/>
  </r>
  <r>
    <x v="632"/>
    <x v="270"/>
    <x v="4"/>
    <x v="2"/>
    <x v="1"/>
    <x v="1"/>
    <x v="2"/>
    <x v="891"/>
    <x v="4"/>
    <x v="351"/>
    <x v="1"/>
  </r>
  <r>
    <x v="633"/>
    <x v="68"/>
    <x v="6"/>
    <x v="4"/>
    <x v="1"/>
    <x v="1"/>
    <x v="5"/>
    <x v="333"/>
    <x v="3"/>
    <x v="923"/>
    <x v="1"/>
  </r>
  <r>
    <x v="634"/>
    <x v="301"/>
    <x v="5"/>
    <x v="6"/>
    <x v="1"/>
    <x v="3"/>
    <x v="3"/>
    <x v="903"/>
    <x v="0"/>
    <x v="913"/>
    <x v="1"/>
  </r>
  <r>
    <x v="635"/>
    <x v="134"/>
    <x v="1"/>
    <x v="6"/>
    <x v="1"/>
    <x v="3"/>
    <x v="4"/>
    <x v="992"/>
    <x v="3"/>
    <x v="514"/>
    <x v="1"/>
  </r>
  <r>
    <x v="636"/>
    <x v="117"/>
    <x v="1"/>
    <x v="4"/>
    <x v="1"/>
    <x v="0"/>
    <x v="4"/>
    <x v="827"/>
    <x v="2"/>
    <x v="321"/>
    <x v="1"/>
  </r>
  <r>
    <x v="637"/>
    <x v="316"/>
    <x v="3"/>
    <x v="1"/>
    <x v="0"/>
    <x v="3"/>
    <x v="1"/>
    <x v="850"/>
    <x v="5"/>
    <x v="729"/>
    <x v="0"/>
  </r>
  <r>
    <x v="638"/>
    <x v="38"/>
    <x v="2"/>
    <x v="6"/>
    <x v="1"/>
    <x v="2"/>
    <x v="4"/>
    <x v="254"/>
    <x v="2"/>
    <x v="29"/>
    <x v="1"/>
  </r>
  <r>
    <x v="639"/>
    <x v="330"/>
    <x v="4"/>
    <x v="0"/>
    <x v="0"/>
    <x v="2"/>
    <x v="4"/>
    <x v="563"/>
    <x v="5"/>
    <x v="486"/>
    <x v="0"/>
  </r>
  <r>
    <x v="640"/>
    <x v="37"/>
    <x v="4"/>
    <x v="7"/>
    <x v="1"/>
    <x v="0"/>
    <x v="2"/>
    <x v="68"/>
    <x v="2"/>
    <x v="333"/>
    <x v="1"/>
  </r>
  <r>
    <x v="641"/>
    <x v="30"/>
    <x v="8"/>
    <x v="7"/>
    <x v="1"/>
    <x v="1"/>
    <x v="2"/>
    <x v="100"/>
    <x v="4"/>
    <x v="909"/>
    <x v="1"/>
  </r>
  <r>
    <x v="642"/>
    <x v="16"/>
    <x v="8"/>
    <x v="0"/>
    <x v="0"/>
    <x v="1"/>
    <x v="5"/>
    <x v="996"/>
    <x v="2"/>
    <x v="13"/>
    <x v="0"/>
  </r>
  <r>
    <x v="643"/>
    <x v="153"/>
    <x v="5"/>
    <x v="4"/>
    <x v="1"/>
    <x v="3"/>
    <x v="1"/>
    <x v="336"/>
    <x v="4"/>
    <x v="567"/>
    <x v="1"/>
  </r>
  <r>
    <x v="644"/>
    <x v="141"/>
    <x v="4"/>
    <x v="0"/>
    <x v="0"/>
    <x v="2"/>
    <x v="0"/>
    <x v="743"/>
    <x v="4"/>
    <x v="733"/>
    <x v="0"/>
  </r>
  <r>
    <x v="645"/>
    <x v="69"/>
    <x v="5"/>
    <x v="2"/>
    <x v="1"/>
    <x v="1"/>
    <x v="6"/>
    <x v="810"/>
    <x v="3"/>
    <x v="500"/>
    <x v="1"/>
  </r>
  <r>
    <x v="646"/>
    <x v="79"/>
    <x v="6"/>
    <x v="2"/>
    <x v="1"/>
    <x v="0"/>
    <x v="1"/>
    <x v="861"/>
    <x v="0"/>
    <x v="79"/>
    <x v="1"/>
  </r>
  <r>
    <x v="647"/>
    <x v="106"/>
    <x v="5"/>
    <x v="4"/>
    <x v="1"/>
    <x v="0"/>
    <x v="1"/>
    <x v="995"/>
    <x v="5"/>
    <x v="969"/>
    <x v="1"/>
  </r>
  <r>
    <x v="648"/>
    <x v="336"/>
    <x v="8"/>
    <x v="0"/>
    <x v="0"/>
    <x v="2"/>
    <x v="3"/>
    <x v="241"/>
    <x v="3"/>
    <x v="534"/>
    <x v="0"/>
  </r>
  <r>
    <x v="649"/>
    <x v="317"/>
    <x v="2"/>
    <x v="2"/>
    <x v="1"/>
    <x v="0"/>
    <x v="5"/>
    <x v="42"/>
    <x v="3"/>
    <x v="630"/>
    <x v="1"/>
  </r>
  <r>
    <x v="650"/>
    <x v="24"/>
    <x v="5"/>
    <x v="1"/>
    <x v="0"/>
    <x v="0"/>
    <x v="3"/>
    <x v="415"/>
    <x v="4"/>
    <x v="227"/>
    <x v="0"/>
  </r>
  <r>
    <x v="651"/>
    <x v="289"/>
    <x v="0"/>
    <x v="0"/>
    <x v="0"/>
    <x v="2"/>
    <x v="1"/>
    <x v="122"/>
    <x v="4"/>
    <x v="496"/>
    <x v="0"/>
  </r>
  <r>
    <x v="652"/>
    <x v="265"/>
    <x v="2"/>
    <x v="1"/>
    <x v="0"/>
    <x v="3"/>
    <x v="1"/>
    <x v="25"/>
    <x v="5"/>
    <x v="440"/>
    <x v="0"/>
  </r>
  <r>
    <x v="653"/>
    <x v="123"/>
    <x v="4"/>
    <x v="2"/>
    <x v="1"/>
    <x v="3"/>
    <x v="1"/>
    <x v="369"/>
    <x v="2"/>
    <x v="71"/>
    <x v="1"/>
  </r>
  <r>
    <x v="654"/>
    <x v="203"/>
    <x v="4"/>
    <x v="7"/>
    <x v="1"/>
    <x v="0"/>
    <x v="4"/>
    <x v="783"/>
    <x v="2"/>
    <x v="95"/>
    <x v="1"/>
  </r>
  <r>
    <x v="655"/>
    <x v="155"/>
    <x v="5"/>
    <x v="2"/>
    <x v="1"/>
    <x v="3"/>
    <x v="6"/>
    <x v="555"/>
    <x v="3"/>
    <x v="826"/>
    <x v="1"/>
  </r>
  <r>
    <x v="656"/>
    <x v="89"/>
    <x v="2"/>
    <x v="1"/>
    <x v="0"/>
    <x v="3"/>
    <x v="6"/>
    <x v="323"/>
    <x v="1"/>
    <x v="231"/>
    <x v="0"/>
  </r>
  <r>
    <x v="657"/>
    <x v="249"/>
    <x v="8"/>
    <x v="3"/>
    <x v="1"/>
    <x v="0"/>
    <x v="3"/>
    <x v="639"/>
    <x v="1"/>
    <x v="185"/>
    <x v="1"/>
  </r>
  <r>
    <x v="658"/>
    <x v="219"/>
    <x v="8"/>
    <x v="5"/>
    <x v="1"/>
    <x v="3"/>
    <x v="1"/>
    <x v="232"/>
    <x v="2"/>
    <x v="518"/>
    <x v="1"/>
  </r>
  <r>
    <x v="659"/>
    <x v="285"/>
    <x v="1"/>
    <x v="6"/>
    <x v="1"/>
    <x v="0"/>
    <x v="6"/>
    <x v="17"/>
    <x v="1"/>
    <x v="766"/>
    <x v="1"/>
  </r>
  <r>
    <x v="660"/>
    <x v="160"/>
    <x v="4"/>
    <x v="0"/>
    <x v="0"/>
    <x v="1"/>
    <x v="2"/>
    <x v="767"/>
    <x v="2"/>
    <x v="60"/>
    <x v="0"/>
  </r>
  <r>
    <x v="661"/>
    <x v="176"/>
    <x v="3"/>
    <x v="3"/>
    <x v="1"/>
    <x v="2"/>
    <x v="6"/>
    <x v="615"/>
    <x v="4"/>
    <x v="594"/>
    <x v="1"/>
  </r>
  <r>
    <x v="662"/>
    <x v="111"/>
    <x v="1"/>
    <x v="2"/>
    <x v="1"/>
    <x v="2"/>
    <x v="5"/>
    <x v="765"/>
    <x v="3"/>
    <x v="105"/>
    <x v="1"/>
  </r>
  <r>
    <x v="663"/>
    <x v="42"/>
    <x v="8"/>
    <x v="7"/>
    <x v="1"/>
    <x v="3"/>
    <x v="5"/>
    <x v="39"/>
    <x v="0"/>
    <x v="28"/>
    <x v="1"/>
  </r>
  <r>
    <x v="664"/>
    <x v="58"/>
    <x v="2"/>
    <x v="4"/>
    <x v="1"/>
    <x v="3"/>
    <x v="6"/>
    <x v="838"/>
    <x v="3"/>
    <x v="47"/>
    <x v="1"/>
  </r>
  <r>
    <x v="665"/>
    <x v="119"/>
    <x v="6"/>
    <x v="2"/>
    <x v="1"/>
    <x v="3"/>
    <x v="2"/>
    <x v="608"/>
    <x v="2"/>
    <x v="824"/>
    <x v="1"/>
  </r>
  <r>
    <x v="666"/>
    <x v="286"/>
    <x v="8"/>
    <x v="7"/>
    <x v="1"/>
    <x v="2"/>
    <x v="5"/>
    <x v="550"/>
    <x v="2"/>
    <x v="103"/>
    <x v="1"/>
  </r>
  <r>
    <x v="667"/>
    <x v="337"/>
    <x v="2"/>
    <x v="5"/>
    <x v="1"/>
    <x v="1"/>
    <x v="4"/>
    <x v="617"/>
    <x v="3"/>
    <x v="39"/>
    <x v="1"/>
  </r>
  <r>
    <x v="668"/>
    <x v="179"/>
    <x v="1"/>
    <x v="2"/>
    <x v="1"/>
    <x v="1"/>
    <x v="6"/>
    <x v="869"/>
    <x v="5"/>
    <x v="452"/>
    <x v="1"/>
  </r>
  <r>
    <x v="669"/>
    <x v="283"/>
    <x v="4"/>
    <x v="1"/>
    <x v="0"/>
    <x v="2"/>
    <x v="4"/>
    <x v="577"/>
    <x v="2"/>
    <x v="830"/>
    <x v="0"/>
  </r>
  <r>
    <x v="670"/>
    <x v="167"/>
    <x v="8"/>
    <x v="4"/>
    <x v="1"/>
    <x v="1"/>
    <x v="6"/>
    <x v="570"/>
    <x v="1"/>
    <x v="256"/>
    <x v="1"/>
  </r>
  <r>
    <x v="671"/>
    <x v="269"/>
    <x v="5"/>
    <x v="7"/>
    <x v="1"/>
    <x v="2"/>
    <x v="0"/>
    <x v="988"/>
    <x v="1"/>
    <x v="432"/>
    <x v="1"/>
  </r>
  <r>
    <x v="672"/>
    <x v="260"/>
    <x v="2"/>
    <x v="7"/>
    <x v="1"/>
    <x v="1"/>
    <x v="0"/>
    <x v="755"/>
    <x v="2"/>
    <x v="35"/>
    <x v="1"/>
  </r>
  <r>
    <x v="673"/>
    <x v="26"/>
    <x v="4"/>
    <x v="7"/>
    <x v="1"/>
    <x v="0"/>
    <x v="0"/>
    <x v="448"/>
    <x v="2"/>
    <x v="463"/>
    <x v="1"/>
  </r>
  <r>
    <x v="674"/>
    <x v="137"/>
    <x v="6"/>
    <x v="5"/>
    <x v="1"/>
    <x v="0"/>
    <x v="5"/>
    <x v="706"/>
    <x v="5"/>
    <x v="596"/>
    <x v="1"/>
  </r>
  <r>
    <x v="675"/>
    <x v="248"/>
    <x v="6"/>
    <x v="2"/>
    <x v="1"/>
    <x v="2"/>
    <x v="4"/>
    <x v="394"/>
    <x v="1"/>
    <x v="585"/>
    <x v="1"/>
  </r>
  <r>
    <x v="676"/>
    <x v="273"/>
    <x v="3"/>
    <x v="5"/>
    <x v="1"/>
    <x v="1"/>
    <x v="4"/>
    <x v="227"/>
    <x v="2"/>
    <x v="326"/>
    <x v="1"/>
  </r>
  <r>
    <x v="677"/>
    <x v="10"/>
    <x v="2"/>
    <x v="0"/>
    <x v="0"/>
    <x v="3"/>
    <x v="4"/>
    <x v="587"/>
    <x v="2"/>
    <x v="998"/>
    <x v="0"/>
  </r>
  <r>
    <x v="678"/>
    <x v="152"/>
    <x v="1"/>
    <x v="6"/>
    <x v="1"/>
    <x v="1"/>
    <x v="2"/>
    <x v="926"/>
    <x v="5"/>
    <x v="96"/>
    <x v="1"/>
  </r>
  <r>
    <x v="679"/>
    <x v="103"/>
    <x v="3"/>
    <x v="6"/>
    <x v="1"/>
    <x v="0"/>
    <x v="4"/>
    <x v="928"/>
    <x v="5"/>
    <x v="369"/>
    <x v="1"/>
  </r>
  <r>
    <x v="680"/>
    <x v="173"/>
    <x v="3"/>
    <x v="0"/>
    <x v="0"/>
    <x v="0"/>
    <x v="2"/>
    <x v="349"/>
    <x v="3"/>
    <x v="92"/>
    <x v="0"/>
  </r>
  <r>
    <x v="681"/>
    <x v="272"/>
    <x v="0"/>
    <x v="2"/>
    <x v="1"/>
    <x v="1"/>
    <x v="0"/>
    <x v="523"/>
    <x v="5"/>
    <x v="765"/>
    <x v="1"/>
  </r>
  <r>
    <x v="682"/>
    <x v="214"/>
    <x v="8"/>
    <x v="1"/>
    <x v="0"/>
    <x v="1"/>
    <x v="0"/>
    <x v="210"/>
    <x v="0"/>
    <x v="959"/>
    <x v="0"/>
  </r>
  <r>
    <x v="683"/>
    <x v="210"/>
    <x v="2"/>
    <x v="5"/>
    <x v="1"/>
    <x v="3"/>
    <x v="5"/>
    <x v="991"/>
    <x v="1"/>
    <x v="967"/>
    <x v="1"/>
  </r>
  <r>
    <x v="684"/>
    <x v="286"/>
    <x v="3"/>
    <x v="4"/>
    <x v="1"/>
    <x v="3"/>
    <x v="6"/>
    <x v="981"/>
    <x v="3"/>
    <x v="854"/>
    <x v="1"/>
  </r>
  <r>
    <x v="685"/>
    <x v="89"/>
    <x v="0"/>
    <x v="7"/>
    <x v="1"/>
    <x v="1"/>
    <x v="0"/>
    <x v="637"/>
    <x v="0"/>
    <x v="618"/>
    <x v="1"/>
  </r>
  <r>
    <x v="686"/>
    <x v="50"/>
    <x v="1"/>
    <x v="7"/>
    <x v="1"/>
    <x v="1"/>
    <x v="6"/>
    <x v="807"/>
    <x v="2"/>
    <x v="699"/>
    <x v="1"/>
  </r>
  <r>
    <x v="687"/>
    <x v="101"/>
    <x v="4"/>
    <x v="2"/>
    <x v="1"/>
    <x v="1"/>
    <x v="6"/>
    <x v="714"/>
    <x v="2"/>
    <x v="273"/>
    <x v="1"/>
  </r>
  <r>
    <x v="688"/>
    <x v="140"/>
    <x v="5"/>
    <x v="1"/>
    <x v="0"/>
    <x v="1"/>
    <x v="5"/>
    <x v="583"/>
    <x v="3"/>
    <x v="642"/>
    <x v="0"/>
  </r>
  <r>
    <x v="689"/>
    <x v="228"/>
    <x v="5"/>
    <x v="6"/>
    <x v="1"/>
    <x v="2"/>
    <x v="1"/>
    <x v="52"/>
    <x v="5"/>
    <x v="467"/>
    <x v="1"/>
  </r>
  <r>
    <x v="690"/>
    <x v="63"/>
    <x v="2"/>
    <x v="6"/>
    <x v="1"/>
    <x v="1"/>
    <x v="1"/>
    <x v="460"/>
    <x v="2"/>
    <x v="493"/>
    <x v="1"/>
  </r>
  <r>
    <x v="691"/>
    <x v="288"/>
    <x v="3"/>
    <x v="7"/>
    <x v="1"/>
    <x v="3"/>
    <x v="3"/>
    <x v="671"/>
    <x v="4"/>
    <x v="752"/>
    <x v="1"/>
  </r>
  <r>
    <x v="692"/>
    <x v="267"/>
    <x v="5"/>
    <x v="2"/>
    <x v="1"/>
    <x v="0"/>
    <x v="5"/>
    <x v="675"/>
    <x v="3"/>
    <x v="268"/>
    <x v="1"/>
  </r>
  <r>
    <x v="693"/>
    <x v="231"/>
    <x v="8"/>
    <x v="5"/>
    <x v="1"/>
    <x v="2"/>
    <x v="3"/>
    <x v="383"/>
    <x v="0"/>
    <x v="311"/>
    <x v="1"/>
  </r>
  <r>
    <x v="694"/>
    <x v="32"/>
    <x v="5"/>
    <x v="6"/>
    <x v="1"/>
    <x v="1"/>
    <x v="3"/>
    <x v="939"/>
    <x v="3"/>
    <x v="914"/>
    <x v="1"/>
  </r>
  <r>
    <x v="695"/>
    <x v="221"/>
    <x v="5"/>
    <x v="5"/>
    <x v="1"/>
    <x v="0"/>
    <x v="1"/>
    <x v="157"/>
    <x v="1"/>
    <x v="55"/>
    <x v="1"/>
  </r>
  <r>
    <x v="696"/>
    <x v="136"/>
    <x v="5"/>
    <x v="1"/>
    <x v="0"/>
    <x v="2"/>
    <x v="5"/>
    <x v="497"/>
    <x v="5"/>
    <x v="502"/>
    <x v="0"/>
  </r>
  <r>
    <x v="697"/>
    <x v="210"/>
    <x v="6"/>
    <x v="6"/>
    <x v="1"/>
    <x v="0"/>
    <x v="1"/>
    <x v="682"/>
    <x v="5"/>
    <x v="902"/>
    <x v="1"/>
  </r>
  <r>
    <x v="698"/>
    <x v="226"/>
    <x v="0"/>
    <x v="6"/>
    <x v="1"/>
    <x v="1"/>
    <x v="3"/>
    <x v="692"/>
    <x v="3"/>
    <x v="628"/>
    <x v="1"/>
  </r>
  <r>
    <x v="699"/>
    <x v="312"/>
    <x v="3"/>
    <x v="3"/>
    <x v="1"/>
    <x v="1"/>
    <x v="5"/>
    <x v="635"/>
    <x v="2"/>
    <x v="558"/>
    <x v="1"/>
  </r>
  <r>
    <x v="700"/>
    <x v="339"/>
    <x v="8"/>
    <x v="6"/>
    <x v="1"/>
    <x v="3"/>
    <x v="3"/>
    <x v="287"/>
    <x v="2"/>
    <x v="243"/>
    <x v="1"/>
  </r>
  <r>
    <x v="701"/>
    <x v="187"/>
    <x v="3"/>
    <x v="0"/>
    <x v="0"/>
    <x v="1"/>
    <x v="4"/>
    <x v="141"/>
    <x v="4"/>
    <x v="346"/>
    <x v="0"/>
  </r>
  <r>
    <x v="702"/>
    <x v="142"/>
    <x v="6"/>
    <x v="4"/>
    <x v="1"/>
    <x v="1"/>
    <x v="6"/>
    <x v="627"/>
    <x v="4"/>
    <x v="836"/>
    <x v="1"/>
  </r>
  <r>
    <x v="703"/>
    <x v="66"/>
    <x v="2"/>
    <x v="0"/>
    <x v="0"/>
    <x v="2"/>
    <x v="5"/>
    <x v="592"/>
    <x v="5"/>
    <x v="574"/>
    <x v="0"/>
  </r>
  <r>
    <x v="704"/>
    <x v="187"/>
    <x v="2"/>
    <x v="2"/>
    <x v="1"/>
    <x v="3"/>
    <x v="5"/>
    <x v="169"/>
    <x v="4"/>
    <x v="532"/>
    <x v="1"/>
  </r>
  <r>
    <x v="705"/>
    <x v="273"/>
    <x v="2"/>
    <x v="2"/>
    <x v="1"/>
    <x v="2"/>
    <x v="6"/>
    <x v="702"/>
    <x v="0"/>
    <x v="93"/>
    <x v="1"/>
  </r>
  <r>
    <x v="706"/>
    <x v="16"/>
    <x v="1"/>
    <x v="5"/>
    <x v="1"/>
    <x v="0"/>
    <x v="3"/>
    <x v="461"/>
    <x v="4"/>
    <x v="17"/>
    <x v="1"/>
  </r>
  <r>
    <x v="707"/>
    <x v="118"/>
    <x v="5"/>
    <x v="0"/>
    <x v="0"/>
    <x v="1"/>
    <x v="4"/>
    <x v="660"/>
    <x v="0"/>
    <x v="956"/>
    <x v="0"/>
  </r>
  <r>
    <x v="708"/>
    <x v="201"/>
    <x v="1"/>
    <x v="0"/>
    <x v="0"/>
    <x v="0"/>
    <x v="2"/>
    <x v="839"/>
    <x v="4"/>
    <x v="379"/>
    <x v="0"/>
  </r>
  <r>
    <x v="709"/>
    <x v="55"/>
    <x v="0"/>
    <x v="0"/>
    <x v="0"/>
    <x v="2"/>
    <x v="6"/>
    <x v="159"/>
    <x v="5"/>
    <x v="621"/>
    <x v="0"/>
  </r>
  <r>
    <x v="710"/>
    <x v="94"/>
    <x v="2"/>
    <x v="1"/>
    <x v="0"/>
    <x v="1"/>
    <x v="1"/>
    <x v="22"/>
    <x v="5"/>
    <x v="73"/>
    <x v="0"/>
  </r>
  <r>
    <x v="711"/>
    <x v="38"/>
    <x v="6"/>
    <x v="6"/>
    <x v="1"/>
    <x v="1"/>
    <x v="3"/>
    <x v="779"/>
    <x v="0"/>
    <x v="683"/>
    <x v="1"/>
  </r>
  <r>
    <x v="712"/>
    <x v="22"/>
    <x v="8"/>
    <x v="4"/>
    <x v="1"/>
    <x v="2"/>
    <x v="6"/>
    <x v="600"/>
    <x v="3"/>
    <x v="921"/>
    <x v="1"/>
  </r>
  <r>
    <x v="713"/>
    <x v="35"/>
    <x v="3"/>
    <x v="5"/>
    <x v="1"/>
    <x v="2"/>
    <x v="6"/>
    <x v="695"/>
    <x v="5"/>
    <x v="591"/>
    <x v="1"/>
  </r>
  <r>
    <x v="714"/>
    <x v="268"/>
    <x v="5"/>
    <x v="0"/>
    <x v="0"/>
    <x v="2"/>
    <x v="5"/>
    <x v="841"/>
    <x v="3"/>
    <x v="114"/>
    <x v="0"/>
  </r>
  <r>
    <x v="715"/>
    <x v="120"/>
    <x v="4"/>
    <x v="0"/>
    <x v="0"/>
    <x v="2"/>
    <x v="1"/>
    <x v="802"/>
    <x v="2"/>
    <x v="600"/>
    <x v="0"/>
  </r>
  <r>
    <x v="716"/>
    <x v="212"/>
    <x v="8"/>
    <x v="3"/>
    <x v="1"/>
    <x v="2"/>
    <x v="1"/>
    <x v="960"/>
    <x v="0"/>
    <x v="764"/>
    <x v="1"/>
  </r>
  <r>
    <x v="717"/>
    <x v="98"/>
    <x v="5"/>
    <x v="5"/>
    <x v="1"/>
    <x v="1"/>
    <x v="1"/>
    <x v="528"/>
    <x v="5"/>
    <x v="413"/>
    <x v="1"/>
  </r>
  <r>
    <x v="718"/>
    <x v="159"/>
    <x v="1"/>
    <x v="0"/>
    <x v="0"/>
    <x v="2"/>
    <x v="6"/>
    <x v="488"/>
    <x v="1"/>
    <x v="869"/>
    <x v="0"/>
  </r>
  <r>
    <x v="719"/>
    <x v="92"/>
    <x v="1"/>
    <x v="5"/>
    <x v="1"/>
    <x v="1"/>
    <x v="2"/>
    <x v="407"/>
    <x v="2"/>
    <x v="656"/>
    <x v="1"/>
  </r>
  <r>
    <x v="720"/>
    <x v="328"/>
    <x v="8"/>
    <x v="6"/>
    <x v="1"/>
    <x v="1"/>
    <x v="0"/>
    <x v="137"/>
    <x v="3"/>
    <x v="891"/>
    <x v="1"/>
  </r>
  <r>
    <x v="721"/>
    <x v="11"/>
    <x v="1"/>
    <x v="3"/>
    <x v="1"/>
    <x v="2"/>
    <x v="3"/>
    <x v="561"/>
    <x v="5"/>
    <x v="638"/>
    <x v="1"/>
  </r>
  <r>
    <x v="722"/>
    <x v="255"/>
    <x v="2"/>
    <x v="5"/>
    <x v="1"/>
    <x v="2"/>
    <x v="0"/>
    <x v="289"/>
    <x v="0"/>
    <x v="118"/>
    <x v="1"/>
  </r>
  <r>
    <x v="723"/>
    <x v="91"/>
    <x v="0"/>
    <x v="4"/>
    <x v="1"/>
    <x v="3"/>
    <x v="6"/>
    <x v="922"/>
    <x v="4"/>
    <x v="300"/>
    <x v="1"/>
  </r>
  <r>
    <x v="724"/>
    <x v="40"/>
    <x v="3"/>
    <x v="4"/>
    <x v="1"/>
    <x v="1"/>
    <x v="0"/>
    <x v="573"/>
    <x v="1"/>
    <x v="195"/>
    <x v="1"/>
  </r>
  <r>
    <x v="725"/>
    <x v="281"/>
    <x v="0"/>
    <x v="2"/>
    <x v="1"/>
    <x v="2"/>
    <x v="6"/>
    <x v="582"/>
    <x v="3"/>
    <x v="894"/>
    <x v="1"/>
  </r>
  <r>
    <x v="726"/>
    <x v="16"/>
    <x v="5"/>
    <x v="3"/>
    <x v="1"/>
    <x v="2"/>
    <x v="0"/>
    <x v="363"/>
    <x v="2"/>
    <x v="756"/>
    <x v="1"/>
  </r>
  <r>
    <x v="727"/>
    <x v="305"/>
    <x v="3"/>
    <x v="3"/>
    <x v="1"/>
    <x v="2"/>
    <x v="1"/>
    <x v="51"/>
    <x v="0"/>
    <x v="676"/>
    <x v="1"/>
  </r>
  <r>
    <x v="728"/>
    <x v="52"/>
    <x v="6"/>
    <x v="2"/>
    <x v="1"/>
    <x v="3"/>
    <x v="4"/>
    <x v="33"/>
    <x v="1"/>
    <x v="289"/>
    <x v="1"/>
  </r>
  <r>
    <x v="729"/>
    <x v="287"/>
    <x v="3"/>
    <x v="5"/>
    <x v="1"/>
    <x v="3"/>
    <x v="1"/>
    <x v="426"/>
    <x v="0"/>
    <x v="173"/>
    <x v="1"/>
  </r>
  <r>
    <x v="730"/>
    <x v="279"/>
    <x v="0"/>
    <x v="3"/>
    <x v="1"/>
    <x v="0"/>
    <x v="1"/>
    <x v="91"/>
    <x v="5"/>
    <x v="751"/>
    <x v="1"/>
  </r>
  <r>
    <x v="731"/>
    <x v="11"/>
    <x v="8"/>
    <x v="4"/>
    <x v="1"/>
    <x v="1"/>
    <x v="5"/>
    <x v="597"/>
    <x v="4"/>
    <x v="484"/>
    <x v="1"/>
  </r>
  <r>
    <x v="732"/>
    <x v="294"/>
    <x v="3"/>
    <x v="4"/>
    <x v="1"/>
    <x v="0"/>
    <x v="5"/>
    <x v="883"/>
    <x v="2"/>
    <x v="217"/>
    <x v="1"/>
  </r>
  <r>
    <x v="733"/>
    <x v="72"/>
    <x v="6"/>
    <x v="0"/>
    <x v="0"/>
    <x v="2"/>
    <x v="0"/>
    <x v="886"/>
    <x v="0"/>
    <x v="633"/>
    <x v="0"/>
  </r>
  <r>
    <x v="734"/>
    <x v="200"/>
    <x v="6"/>
    <x v="6"/>
    <x v="1"/>
    <x v="3"/>
    <x v="6"/>
    <x v="645"/>
    <x v="3"/>
    <x v="36"/>
    <x v="1"/>
  </r>
  <r>
    <x v="735"/>
    <x v="314"/>
    <x v="6"/>
    <x v="3"/>
    <x v="1"/>
    <x v="3"/>
    <x v="1"/>
    <x v="209"/>
    <x v="5"/>
    <x v="317"/>
    <x v="1"/>
  </r>
  <r>
    <x v="736"/>
    <x v="245"/>
    <x v="0"/>
    <x v="5"/>
    <x v="1"/>
    <x v="0"/>
    <x v="0"/>
    <x v="868"/>
    <x v="5"/>
    <x v="477"/>
    <x v="1"/>
  </r>
  <r>
    <x v="737"/>
    <x v="137"/>
    <x v="3"/>
    <x v="2"/>
    <x v="1"/>
    <x v="3"/>
    <x v="5"/>
    <x v="890"/>
    <x v="2"/>
    <x v="137"/>
    <x v="1"/>
  </r>
  <r>
    <x v="738"/>
    <x v="73"/>
    <x v="4"/>
    <x v="2"/>
    <x v="1"/>
    <x v="2"/>
    <x v="4"/>
    <x v="191"/>
    <x v="5"/>
    <x v="984"/>
    <x v="1"/>
  </r>
  <r>
    <x v="739"/>
    <x v="199"/>
    <x v="8"/>
    <x v="5"/>
    <x v="1"/>
    <x v="3"/>
    <x v="3"/>
    <x v="734"/>
    <x v="3"/>
    <x v="206"/>
    <x v="1"/>
  </r>
  <r>
    <x v="740"/>
    <x v="184"/>
    <x v="2"/>
    <x v="1"/>
    <x v="0"/>
    <x v="0"/>
    <x v="0"/>
    <x v="301"/>
    <x v="0"/>
    <x v="116"/>
    <x v="0"/>
  </r>
  <r>
    <x v="741"/>
    <x v="186"/>
    <x v="3"/>
    <x v="7"/>
    <x v="1"/>
    <x v="2"/>
    <x v="4"/>
    <x v="801"/>
    <x v="2"/>
    <x v="196"/>
    <x v="1"/>
  </r>
  <r>
    <x v="742"/>
    <x v="22"/>
    <x v="6"/>
    <x v="6"/>
    <x v="1"/>
    <x v="0"/>
    <x v="3"/>
    <x v="994"/>
    <x v="5"/>
    <x v="767"/>
    <x v="1"/>
  </r>
  <r>
    <x v="743"/>
    <x v="81"/>
    <x v="4"/>
    <x v="2"/>
    <x v="1"/>
    <x v="3"/>
    <x v="2"/>
    <x v="29"/>
    <x v="5"/>
    <x v="435"/>
    <x v="1"/>
  </r>
  <r>
    <x v="744"/>
    <x v="249"/>
    <x v="2"/>
    <x v="3"/>
    <x v="1"/>
    <x v="0"/>
    <x v="0"/>
    <x v="901"/>
    <x v="3"/>
    <x v="579"/>
    <x v="1"/>
  </r>
  <r>
    <x v="745"/>
    <x v="131"/>
    <x v="2"/>
    <x v="6"/>
    <x v="1"/>
    <x v="0"/>
    <x v="0"/>
    <x v="612"/>
    <x v="4"/>
    <x v="19"/>
    <x v="1"/>
  </r>
  <r>
    <x v="746"/>
    <x v="53"/>
    <x v="5"/>
    <x v="3"/>
    <x v="1"/>
    <x v="1"/>
    <x v="2"/>
    <x v="975"/>
    <x v="4"/>
    <x v="26"/>
    <x v="1"/>
  </r>
  <r>
    <x v="747"/>
    <x v="339"/>
    <x v="3"/>
    <x v="1"/>
    <x v="0"/>
    <x v="3"/>
    <x v="2"/>
    <x v="469"/>
    <x v="5"/>
    <x v="461"/>
    <x v="0"/>
  </r>
  <r>
    <x v="748"/>
    <x v="23"/>
    <x v="0"/>
    <x v="4"/>
    <x v="1"/>
    <x v="3"/>
    <x v="0"/>
    <x v="852"/>
    <x v="0"/>
    <x v="811"/>
    <x v="1"/>
  </r>
  <r>
    <x v="749"/>
    <x v="43"/>
    <x v="3"/>
    <x v="6"/>
    <x v="1"/>
    <x v="0"/>
    <x v="2"/>
    <x v="59"/>
    <x v="2"/>
    <x v="875"/>
    <x v="1"/>
  </r>
  <r>
    <x v="750"/>
    <x v="266"/>
    <x v="4"/>
    <x v="0"/>
    <x v="0"/>
    <x v="1"/>
    <x v="1"/>
    <x v="344"/>
    <x v="5"/>
    <x v="80"/>
    <x v="0"/>
  </r>
  <r>
    <x v="751"/>
    <x v="247"/>
    <x v="2"/>
    <x v="2"/>
    <x v="1"/>
    <x v="3"/>
    <x v="3"/>
    <x v="67"/>
    <x v="1"/>
    <x v="551"/>
    <x v="1"/>
  </r>
  <r>
    <x v="752"/>
    <x v="15"/>
    <x v="3"/>
    <x v="6"/>
    <x v="1"/>
    <x v="2"/>
    <x v="3"/>
    <x v="976"/>
    <x v="2"/>
    <x v="904"/>
    <x v="1"/>
  </r>
  <r>
    <x v="753"/>
    <x v="185"/>
    <x v="0"/>
    <x v="6"/>
    <x v="1"/>
    <x v="0"/>
    <x v="3"/>
    <x v="819"/>
    <x v="4"/>
    <x v="392"/>
    <x v="1"/>
  </r>
  <r>
    <x v="754"/>
    <x v="260"/>
    <x v="5"/>
    <x v="6"/>
    <x v="1"/>
    <x v="3"/>
    <x v="1"/>
    <x v="856"/>
    <x v="5"/>
    <x v="821"/>
    <x v="1"/>
  </r>
  <r>
    <x v="755"/>
    <x v="78"/>
    <x v="3"/>
    <x v="7"/>
    <x v="1"/>
    <x v="2"/>
    <x v="6"/>
    <x v="935"/>
    <x v="3"/>
    <x v="123"/>
    <x v="1"/>
  </r>
  <r>
    <x v="756"/>
    <x v="231"/>
    <x v="8"/>
    <x v="6"/>
    <x v="1"/>
    <x v="3"/>
    <x v="2"/>
    <x v="92"/>
    <x v="1"/>
    <x v="926"/>
    <x v="1"/>
  </r>
  <r>
    <x v="757"/>
    <x v="251"/>
    <x v="5"/>
    <x v="3"/>
    <x v="1"/>
    <x v="2"/>
    <x v="4"/>
    <x v="391"/>
    <x v="5"/>
    <x v="747"/>
    <x v="1"/>
  </r>
  <r>
    <x v="758"/>
    <x v="310"/>
    <x v="0"/>
    <x v="4"/>
    <x v="1"/>
    <x v="0"/>
    <x v="2"/>
    <x v="76"/>
    <x v="0"/>
    <x v="931"/>
    <x v="1"/>
  </r>
  <r>
    <x v="759"/>
    <x v="106"/>
    <x v="4"/>
    <x v="1"/>
    <x v="0"/>
    <x v="3"/>
    <x v="0"/>
    <x v="208"/>
    <x v="1"/>
    <x v="677"/>
    <x v="0"/>
  </r>
  <r>
    <x v="760"/>
    <x v="6"/>
    <x v="2"/>
    <x v="5"/>
    <x v="1"/>
    <x v="3"/>
    <x v="5"/>
    <x v="228"/>
    <x v="5"/>
    <x v="368"/>
    <x v="1"/>
  </r>
  <r>
    <x v="761"/>
    <x v="125"/>
    <x v="3"/>
    <x v="6"/>
    <x v="1"/>
    <x v="1"/>
    <x v="3"/>
    <x v="473"/>
    <x v="0"/>
    <x v="928"/>
    <x v="1"/>
  </r>
  <r>
    <x v="762"/>
    <x v="162"/>
    <x v="0"/>
    <x v="2"/>
    <x v="1"/>
    <x v="0"/>
    <x v="2"/>
    <x v="276"/>
    <x v="1"/>
    <x v="262"/>
    <x v="1"/>
  </r>
  <r>
    <x v="763"/>
    <x v="303"/>
    <x v="5"/>
    <x v="6"/>
    <x v="1"/>
    <x v="2"/>
    <x v="4"/>
    <x v="102"/>
    <x v="0"/>
    <x v="325"/>
    <x v="1"/>
  </r>
  <r>
    <x v="764"/>
    <x v="291"/>
    <x v="8"/>
    <x v="2"/>
    <x v="1"/>
    <x v="3"/>
    <x v="0"/>
    <x v="158"/>
    <x v="0"/>
    <x v="698"/>
    <x v="1"/>
  </r>
  <r>
    <x v="765"/>
    <x v="199"/>
    <x v="0"/>
    <x v="3"/>
    <x v="1"/>
    <x v="3"/>
    <x v="1"/>
    <x v="132"/>
    <x v="1"/>
    <x v="762"/>
    <x v="1"/>
  </r>
  <r>
    <x v="766"/>
    <x v="74"/>
    <x v="1"/>
    <x v="2"/>
    <x v="1"/>
    <x v="2"/>
    <x v="6"/>
    <x v="973"/>
    <x v="1"/>
    <x v="918"/>
    <x v="1"/>
  </r>
  <r>
    <x v="767"/>
    <x v="206"/>
    <x v="6"/>
    <x v="0"/>
    <x v="0"/>
    <x v="0"/>
    <x v="1"/>
    <x v="761"/>
    <x v="0"/>
    <x v="201"/>
    <x v="0"/>
  </r>
  <r>
    <x v="768"/>
    <x v="93"/>
    <x v="8"/>
    <x v="5"/>
    <x v="1"/>
    <x v="1"/>
    <x v="4"/>
    <x v="966"/>
    <x v="4"/>
    <x v="791"/>
    <x v="1"/>
  </r>
  <r>
    <x v="769"/>
    <x v="253"/>
    <x v="5"/>
    <x v="4"/>
    <x v="1"/>
    <x v="1"/>
    <x v="0"/>
    <x v="447"/>
    <x v="1"/>
    <x v="731"/>
    <x v="1"/>
  </r>
  <r>
    <x v="770"/>
    <x v="13"/>
    <x v="4"/>
    <x v="2"/>
    <x v="1"/>
    <x v="3"/>
    <x v="3"/>
    <x v="292"/>
    <x v="5"/>
    <x v="62"/>
    <x v="1"/>
  </r>
  <r>
    <x v="771"/>
    <x v="147"/>
    <x v="2"/>
    <x v="2"/>
    <x v="1"/>
    <x v="2"/>
    <x v="2"/>
    <x v="798"/>
    <x v="2"/>
    <x v="391"/>
    <x v="1"/>
  </r>
  <r>
    <x v="772"/>
    <x v="140"/>
    <x v="5"/>
    <x v="4"/>
    <x v="1"/>
    <x v="3"/>
    <x v="0"/>
    <x v="335"/>
    <x v="3"/>
    <x v="270"/>
    <x v="1"/>
  </r>
  <r>
    <x v="773"/>
    <x v="98"/>
    <x v="6"/>
    <x v="5"/>
    <x v="1"/>
    <x v="2"/>
    <x v="6"/>
    <x v="311"/>
    <x v="0"/>
    <x v="294"/>
    <x v="1"/>
  </r>
  <r>
    <x v="774"/>
    <x v="174"/>
    <x v="4"/>
    <x v="6"/>
    <x v="1"/>
    <x v="1"/>
    <x v="1"/>
    <x v="233"/>
    <x v="0"/>
    <x v="981"/>
    <x v="1"/>
  </r>
  <r>
    <x v="775"/>
    <x v="277"/>
    <x v="3"/>
    <x v="2"/>
    <x v="1"/>
    <x v="0"/>
    <x v="6"/>
    <x v="121"/>
    <x v="3"/>
    <x v="648"/>
    <x v="1"/>
  </r>
  <r>
    <x v="776"/>
    <x v="89"/>
    <x v="0"/>
    <x v="4"/>
    <x v="1"/>
    <x v="2"/>
    <x v="6"/>
    <x v="262"/>
    <x v="4"/>
    <x v="710"/>
    <x v="1"/>
  </r>
  <r>
    <x v="777"/>
    <x v="120"/>
    <x v="1"/>
    <x v="0"/>
    <x v="0"/>
    <x v="1"/>
    <x v="4"/>
    <x v="364"/>
    <x v="3"/>
    <x v="974"/>
    <x v="0"/>
  </r>
  <r>
    <x v="778"/>
    <x v="270"/>
    <x v="8"/>
    <x v="0"/>
    <x v="0"/>
    <x v="3"/>
    <x v="4"/>
    <x v="669"/>
    <x v="1"/>
    <x v="381"/>
    <x v="0"/>
  </r>
  <r>
    <x v="779"/>
    <x v="158"/>
    <x v="8"/>
    <x v="3"/>
    <x v="1"/>
    <x v="2"/>
    <x v="2"/>
    <x v="61"/>
    <x v="3"/>
    <x v="795"/>
    <x v="1"/>
  </r>
  <r>
    <x v="780"/>
    <x v="169"/>
    <x v="0"/>
    <x v="4"/>
    <x v="1"/>
    <x v="0"/>
    <x v="4"/>
    <x v="207"/>
    <x v="0"/>
    <x v="447"/>
    <x v="1"/>
  </r>
  <r>
    <x v="781"/>
    <x v="338"/>
    <x v="1"/>
    <x v="3"/>
    <x v="1"/>
    <x v="3"/>
    <x v="4"/>
    <x v="814"/>
    <x v="3"/>
    <x v="859"/>
    <x v="1"/>
  </r>
  <r>
    <x v="782"/>
    <x v="35"/>
    <x v="0"/>
    <x v="0"/>
    <x v="0"/>
    <x v="3"/>
    <x v="0"/>
    <x v="131"/>
    <x v="2"/>
    <x v="168"/>
    <x v="0"/>
  </r>
  <r>
    <x v="783"/>
    <x v="14"/>
    <x v="3"/>
    <x v="5"/>
    <x v="1"/>
    <x v="1"/>
    <x v="3"/>
    <x v="351"/>
    <x v="5"/>
    <x v="937"/>
    <x v="1"/>
  </r>
  <r>
    <x v="784"/>
    <x v="3"/>
    <x v="6"/>
    <x v="6"/>
    <x v="1"/>
    <x v="2"/>
    <x v="2"/>
    <x v="870"/>
    <x v="1"/>
    <x v="212"/>
    <x v="1"/>
  </r>
  <r>
    <x v="785"/>
    <x v="323"/>
    <x v="4"/>
    <x v="4"/>
    <x v="1"/>
    <x v="3"/>
    <x v="0"/>
    <x v="140"/>
    <x v="3"/>
    <x v="318"/>
    <x v="1"/>
  </r>
  <r>
    <x v="786"/>
    <x v="194"/>
    <x v="5"/>
    <x v="1"/>
    <x v="0"/>
    <x v="0"/>
    <x v="3"/>
    <x v="89"/>
    <x v="0"/>
    <x v="750"/>
    <x v="0"/>
  </r>
  <r>
    <x v="787"/>
    <x v="149"/>
    <x v="8"/>
    <x v="0"/>
    <x v="0"/>
    <x v="2"/>
    <x v="6"/>
    <x v="483"/>
    <x v="5"/>
    <x v="400"/>
    <x v="0"/>
  </r>
  <r>
    <x v="788"/>
    <x v="15"/>
    <x v="3"/>
    <x v="0"/>
    <x v="0"/>
    <x v="0"/>
    <x v="0"/>
    <x v="313"/>
    <x v="1"/>
    <x v="625"/>
    <x v="0"/>
  </r>
  <r>
    <x v="789"/>
    <x v="98"/>
    <x v="4"/>
    <x v="1"/>
    <x v="0"/>
    <x v="3"/>
    <x v="5"/>
    <x v="551"/>
    <x v="0"/>
    <x v="457"/>
    <x v="0"/>
  </r>
  <r>
    <x v="790"/>
    <x v="287"/>
    <x v="3"/>
    <x v="7"/>
    <x v="1"/>
    <x v="0"/>
    <x v="0"/>
    <x v="805"/>
    <x v="4"/>
    <x v="739"/>
    <x v="1"/>
  </r>
  <r>
    <x v="791"/>
    <x v="210"/>
    <x v="1"/>
    <x v="0"/>
    <x v="0"/>
    <x v="1"/>
    <x v="4"/>
    <x v="125"/>
    <x v="2"/>
    <x v="221"/>
    <x v="0"/>
  </r>
  <r>
    <x v="792"/>
    <x v="157"/>
    <x v="8"/>
    <x v="2"/>
    <x v="1"/>
    <x v="0"/>
    <x v="3"/>
    <x v="569"/>
    <x v="4"/>
    <x v="57"/>
    <x v="1"/>
  </r>
  <r>
    <x v="793"/>
    <x v="30"/>
    <x v="5"/>
    <x v="5"/>
    <x v="1"/>
    <x v="2"/>
    <x v="2"/>
    <x v="504"/>
    <x v="2"/>
    <x v="288"/>
    <x v="1"/>
  </r>
  <r>
    <x v="794"/>
    <x v="232"/>
    <x v="0"/>
    <x v="4"/>
    <x v="1"/>
    <x v="0"/>
    <x v="2"/>
    <x v="130"/>
    <x v="3"/>
    <x v="485"/>
    <x v="1"/>
  </r>
  <r>
    <x v="795"/>
    <x v="229"/>
    <x v="0"/>
    <x v="1"/>
    <x v="0"/>
    <x v="0"/>
    <x v="3"/>
    <x v="616"/>
    <x v="1"/>
    <x v="156"/>
    <x v="0"/>
  </r>
  <r>
    <x v="796"/>
    <x v="250"/>
    <x v="4"/>
    <x v="2"/>
    <x v="1"/>
    <x v="1"/>
    <x v="4"/>
    <x v="284"/>
    <x v="3"/>
    <x v="358"/>
    <x v="1"/>
  </r>
  <r>
    <x v="797"/>
    <x v="129"/>
    <x v="5"/>
    <x v="1"/>
    <x v="0"/>
    <x v="0"/>
    <x v="1"/>
    <x v="487"/>
    <x v="2"/>
    <x v="405"/>
    <x v="0"/>
  </r>
  <r>
    <x v="798"/>
    <x v="254"/>
    <x v="6"/>
    <x v="4"/>
    <x v="1"/>
    <x v="0"/>
    <x v="0"/>
    <x v="88"/>
    <x v="2"/>
    <x v="56"/>
    <x v="1"/>
  </r>
  <r>
    <x v="799"/>
    <x v="87"/>
    <x v="2"/>
    <x v="3"/>
    <x v="1"/>
    <x v="3"/>
    <x v="4"/>
    <x v="465"/>
    <x v="2"/>
    <x v="603"/>
    <x v="1"/>
  </r>
  <r>
    <x v="800"/>
    <x v="210"/>
    <x v="1"/>
    <x v="4"/>
    <x v="1"/>
    <x v="3"/>
    <x v="5"/>
    <x v="317"/>
    <x v="5"/>
    <x v="873"/>
    <x v="1"/>
  </r>
  <r>
    <x v="801"/>
    <x v="35"/>
    <x v="4"/>
    <x v="7"/>
    <x v="1"/>
    <x v="2"/>
    <x v="6"/>
    <x v="824"/>
    <x v="0"/>
    <x v="139"/>
    <x v="1"/>
  </r>
  <r>
    <x v="802"/>
    <x v="278"/>
    <x v="2"/>
    <x v="4"/>
    <x v="1"/>
    <x v="3"/>
    <x v="3"/>
    <x v="56"/>
    <x v="1"/>
    <x v="614"/>
    <x v="1"/>
  </r>
  <r>
    <x v="803"/>
    <x v="26"/>
    <x v="3"/>
    <x v="4"/>
    <x v="1"/>
    <x v="3"/>
    <x v="0"/>
    <x v="421"/>
    <x v="3"/>
    <x v="665"/>
    <x v="1"/>
  </r>
  <r>
    <x v="804"/>
    <x v="294"/>
    <x v="1"/>
    <x v="7"/>
    <x v="1"/>
    <x v="3"/>
    <x v="2"/>
    <x v="463"/>
    <x v="3"/>
    <x v="429"/>
    <x v="1"/>
  </r>
  <r>
    <x v="805"/>
    <x v="227"/>
    <x v="3"/>
    <x v="5"/>
    <x v="1"/>
    <x v="3"/>
    <x v="6"/>
    <x v="724"/>
    <x v="4"/>
    <x v="700"/>
    <x v="1"/>
  </r>
  <r>
    <x v="806"/>
    <x v="218"/>
    <x v="6"/>
    <x v="0"/>
    <x v="0"/>
    <x v="1"/>
    <x v="1"/>
    <x v="562"/>
    <x v="2"/>
    <x v="418"/>
    <x v="0"/>
  </r>
  <r>
    <x v="807"/>
    <x v="171"/>
    <x v="5"/>
    <x v="4"/>
    <x v="1"/>
    <x v="3"/>
    <x v="5"/>
    <x v="659"/>
    <x v="2"/>
    <x v="517"/>
    <x v="1"/>
  </r>
  <r>
    <x v="808"/>
    <x v="252"/>
    <x v="8"/>
    <x v="7"/>
    <x v="1"/>
    <x v="1"/>
    <x v="2"/>
    <x v="777"/>
    <x v="2"/>
    <x v="8"/>
    <x v="1"/>
  </r>
  <r>
    <x v="809"/>
    <x v="218"/>
    <x v="1"/>
    <x v="2"/>
    <x v="1"/>
    <x v="1"/>
    <x v="3"/>
    <x v="866"/>
    <x v="3"/>
    <x v="690"/>
    <x v="1"/>
  </r>
  <r>
    <x v="810"/>
    <x v="221"/>
    <x v="2"/>
    <x v="3"/>
    <x v="1"/>
    <x v="3"/>
    <x v="0"/>
    <x v="326"/>
    <x v="4"/>
    <x v="660"/>
    <x v="1"/>
  </r>
  <r>
    <x v="811"/>
    <x v="247"/>
    <x v="6"/>
    <x v="3"/>
    <x v="1"/>
    <x v="0"/>
    <x v="3"/>
    <x v="529"/>
    <x v="0"/>
    <x v="30"/>
    <x v="1"/>
  </r>
  <r>
    <x v="812"/>
    <x v="333"/>
    <x v="8"/>
    <x v="4"/>
    <x v="1"/>
    <x v="1"/>
    <x v="6"/>
    <x v="847"/>
    <x v="5"/>
    <x v="370"/>
    <x v="1"/>
  </r>
  <r>
    <x v="813"/>
    <x v="315"/>
    <x v="0"/>
    <x v="5"/>
    <x v="1"/>
    <x v="0"/>
    <x v="0"/>
    <x v="986"/>
    <x v="1"/>
    <x v="978"/>
    <x v="1"/>
  </r>
  <r>
    <x v="814"/>
    <x v="59"/>
    <x v="2"/>
    <x v="5"/>
    <x v="1"/>
    <x v="0"/>
    <x v="4"/>
    <x v="893"/>
    <x v="0"/>
    <x v="431"/>
    <x v="1"/>
  </r>
  <r>
    <x v="815"/>
    <x v="163"/>
    <x v="4"/>
    <x v="2"/>
    <x v="1"/>
    <x v="3"/>
    <x v="1"/>
    <x v="378"/>
    <x v="3"/>
    <x v="513"/>
    <x v="1"/>
  </r>
  <r>
    <x v="816"/>
    <x v="2"/>
    <x v="0"/>
    <x v="4"/>
    <x v="1"/>
    <x v="2"/>
    <x v="4"/>
    <x v="188"/>
    <x v="5"/>
    <x v="900"/>
    <x v="1"/>
  </r>
  <r>
    <x v="817"/>
    <x v="130"/>
    <x v="6"/>
    <x v="3"/>
    <x v="1"/>
    <x v="3"/>
    <x v="4"/>
    <x v="489"/>
    <x v="5"/>
    <x v="708"/>
    <x v="1"/>
  </r>
  <r>
    <x v="818"/>
    <x v="146"/>
    <x v="0"/>
    <x v="5"/>
    <x v="1"/>
    <x v="2"/>
    <x v="3"/>
    <x v="739"/>
    <x v="5"/>
    <x v="601"/>
    <x v="1"/>
  </r>
  <r>
    <x v="819"/>
    <x v="300"/>
    <x v="4"/>
    <x v="4"/>
    <x v="1"/>
    <x v="2"/>
    <x v="6"/>
    <x v="492"/>
    <x v="2"/>
    <x v="790"/>
    <x v="1"/>
  </r>
  <r>
    <x v="820"/>
    <x v="134"/>
    <x v="1"/>
    <x v="1"/>
    <x v="0"/>
    <x v="3"/>
    <x v="1"/>
    <x v="481"/>
    <x v="1"/>
    <x v="853"/>
    <x v="0"/>
  </r>
  <r>
    <x v="821"/>
    <x v="270"/>
    <x v="0"/>
    <x v="5"/>
    <x v="1"/>
    <x v="3"/>
    <x v="0"/>
    <x v="842"/>
    <x v="3"/>
    <x v="468"/>
    <x v="1"/>
  </r>
  <r>
    <x v="822"/>
    <x v="141"/>
    <x v="5"/>
    <x v="7"/>
    <x v="1"/>
    <x v="2"/>
    <x v="0"/>
    <x v="370"/>
    <x v="3"/>
    <x v="489"/>
    <x v="1"/>
  </r>
  <r>
    <x v="823"/>
    <x v="179"/>
    <x v="2"/>
    <x v="1"/>
    <x v="0"/>
    <x v="3"/>
    <x v="5"/>
    <x v="864"/>
    <x v="5"/>
    <x v="388"/>
    <x v="0"/>
  </r>
  <r>
    <x v="824"/>
    <x v="66"/>
    <x v="8"/>
    <x v="0"/>
    <x v="0"/>
    <x v="2"/>
    <x v="2"/>
    <x v="411"/>
    <x v="3"/>
    <x v="962"/>
    <x v="0"/>
  </r>
  <r>
    <x v="825"/>
    <x v="281"/>
    <x v="0"/>
    <x v="5"/>
    <x v="1"/>
    <x v="0"/>
    <x v="5"/>
    <x v="338"/>
    <x v="1"/>
    <x v="697"/>
    <x v="1"/>
  </r>
  <r>
    <x v="826"/>
    <x v="318"/>
    <x v="2"/>
    <x v="3"/>
    <x v="1"/>
    <x v="3"/>
    <x v="5"/>
    <x v="458"/>
    <x v="1"/>
    <x v="77"/>
    <x v="1"/>
  </r>
  <r>
    <x v="827"/>
    <x v="128"/>
    <x v="3"/>
    <x v="6"/>
    <x v="1"/>
    <x v="0"/>
    <x v="0"/>
    <x v="766"/>
    <x v="4"/>
    <x v="851"/>
    <x v="1"/>
  </r>
  <r>
    <x v="828"/>
    <x v="173"/>
    <x v="2"/>
    <x v="1"/>
    <x v="0"/>
    <x v="1"/>
    <x v="3"/>
    <x v="119"/>
    <x v="4"/>
    <x v="492"/>
    <x v="0"/>
  </r>
  <r>
    <x v="829"/>
    <x v="270"/>
    <x v="8"/>
    <x v="0"/>
    <x v="0"/>
    <x v="0"/>
    <x v="4"/>
    <x v="190"/>
    <x v="0"/>
    <x v="66"/>
    <x v="0"/>
  </r>
  <r>
    <x v="830"/>
    <x v="55"/>
    <x v="2"/>
    <x v="2"/>
    <x v="1"/>
    <x v="0"/>
    <x v="6"/>
    <x v="951"/>
    <x v="1"/>
    <x v="564"/>
    <x v="1"/>
  </r>
  <r>
    <x v="831"/>
    <x v="184"/>
    <x v="4"/>
    <x v="2"/>
    <x v="1"/>
    <x v="2"/>
    <x v="4"/>
    <x v="166"/>
    <x v="1"/>
    <x v="423"/>
    <x v="1"/>
  </r>
  <r>
    <x v="832"/>
    <x v="272"/>
    <x v="6"/>
    <x v="3"/>
    <x v="1"/>
    <x v="0"/>
    <x v="4"/>
    <x v="556"/>
    <x v="1"/>
    <x v="865"/>
    <x v="1"/>
  </r>
  <r>
    <x v="833"/>
    <x v="295"/>
    <x v="8"/>
    <x v="5"/>
    <x v="1"/>
    <x v="3"/>
    <x v="1"/>
    <x v="567"/>
    <x v="4"/>
    <x v="197"/>
    <x v="1"/>
  </r>
  <r>
    <x v="834"/>
    <x v="278"/>
    <x v="6"/>
    <x v="4"/>
    <x v="1"/>
    <x v="2"/>
    <x v="0"/>
    <x v="490"/>
    <x v="5"/>
    <x v="817"/>
    <x v="1"/>
  </r>
  <r>
    <x v="835"/>
    <x v="318"/>
    <x v="1"/>
    <x v="5"/>
    <x v="1"/>
    <x v="1"/>
    <x v="6"/>
    <x v="632"/>
    <x v="5"/>
    <x v="572"/>
    <x v="1"/>
  </r>
  <r>
    <x v="836"/>
    <x v="10"/>
    <x v="6"/>
    <x v="3"/>
    <x v="1"/>
    <x v="3"/>
    <x v="3"/>
    <x v="230"/>
    <x v="3"/>
    <x v="51"/>
    <x v="1"/>
  </r>
  <r>
    <x v="837"/>
    <x v="56"/>
    <x v="3"/>
    <x v="2"/>
    <x v="1"/>
    <x v="1"/>
    <x v="1"/>
    <x v="541"/>
    <x v="5"/>
    <x v="968"/>
    <x v="1"/>
  </r>
  <r>
    <x v="838"/>
    <x v="308"/>
    <x v="4"/>
    <x v="5"/>
    <x v="1"/>
    <x v="0"/>
    <x v="2"/>
    <x v="380"/>
    <x v="2"/>
    <x v="529"/>
    <x v="1"/>
  </r>
  <r>
    <x v="839"/>
    <x v="209"/>
    <x v="1"/>
    <x v="2"/>
    <x v="1"/>
    <x v="3"/>
    <x v="3"/>
    <x v="648"/>
    <x v="4"/>
    <x v="279"/>
    <x v="1"/>
  </r>
  <r>
    <x v="840"/>
    <x v="141"/>
    <x v="2"/>
    <x v="1"/>
    <x v="0"/>
    <x v="3"/>
    <x v="5"/>
    <x v="127"/>
    <x v="1"/>
    <x v="479"/>
    <x v="0"/>
  </r>
  <r>
    <x v="841"/>
    <x v="185"/>
    <x v="8"/>
    <x v="0"/>
    <x v="0"/>
    <x v="1"/>
    <x v="3"/>
    <x v="558"/>
    <x v="5"/>
    <x v="842"/>
    <x v="0"/>
  </r>
  <r>
    <x v="842"/>
    <x v="47"/>
    <x v="3"/>
    <x v="4"/>
    <x v="1"/>
    <x v="3"/>
    <x v="3"/>
    <x v="175"/>
    <x v="4"/>
    <x v="295"/>
    <x v="1"/>
  </r>
  <r>
    <x v="843"/>
    <x v="241"/>
    <x v="4"/>
    <x v="1"/>
    <x v="0"/>
    <x v="3"/>
    <x v="4"/>
    <x v="293"/>
    <x v="5"/>
    <x v="184"/>
    <x v="0"/>
  </r>
  <r>
    <x v="844"/>
    <x v="53"/>
    <x v="1"/>
    <x v="2"/>
    <x v="1"/>
    <x v="3"/>
    <x v="3"/>
    <x v="216"/>
    <x v="0"/>
    <x v="115"/>
    <x v="1"/>
  </r>
  <r>
    <x v="845"/>
    <x v="65"/>
    <x v="1"/>
    <x v="2"/>
    <x v="1"/>
    <x v="0"/>
    <x v="5"/>
    <x v="172"/>
    <x v="1"/>
    <x v="283"/>
    <x v="1"/>
  </r>
  <r>
    <x v="846"/>
    <x v="136"/>
    <x v="3"/>
    <x v="6"/>
    <x v="1"/>
    <x v="1"/>
    <x v="5"/>
    <x v="828"/>
    <x v="0"/>
    <x v="776"/>
    <x v="1"/>
  </r>
  <r>
    <x v="847"/>
    <x v="323"/>
    <x v="5"/>
    <x v="6"/>
    <x v="1"/>
    <x v="3"/>
    <x v="0"/>
    <x v="299"/>
    <x v="1"/>
    <x v="480"/>
    <x v="1"/>
  </r>
  <r>
    <x v="848"/>
    <x v="57"/>
    <x v="2"/>
    <x v="1"/>
    <x v="0"/>
    <x v="2"/>
    <x v="3"/>
    <x v="925"/>
    <x v="4"/>
    <x v="220"/>
    <x v="0"/>
  </r>
  <r>
    <x v="849"/>
    <x v="286"/>
    <x v="3"/>
    <x v="7"/>
    <x v="1"/>
    <x v="2"/>
    <x v="4"/>
    <x v="970"/>
    <x v="3"/>
    <x v="151"/>
    <x v="1"/>
  </r>
  <r>
    <x v="850"/>
    <x v="225"/>
    <x v="1"/>
    <x v="1"/>
    <x v="0"/>
    <x v="2"/>
    <x v="3"/>
    <x v="559"/>
    <x v="5"/>
    <x v="327"/>
    <x v="0"/>
  </r>
  <r>
    <x v="851"/>
    <x v="305"/>
    <x v="0"/>
    <x v="6"/>
    <x v="1"/>
    <x v="2"/>
    <x v="2"/>
    <x v="129"/>
    <x v="5"/>
    <x v="929"/>
    <x v="1"/>
  </r>
  <r>
    <x v="852"/>
    <x v="97"/>
    <x v="4"/>
    <x v="2"/>
    <x v="1"/>
    <x v="0"/>
    <x v="2"/>
    <x v="385"/>
    <x v="2"/>
    <x v="345"/>
    <x v="1"/>
  </r>
  <r>
    <x v="853"/>
    <x v="209"/>
    <x v="3"/>
    <x v="3"/>
    <x v="1"/>
    <x v="3"/>
    <x v="4"/>
    <x v="797"/>
    <x v="0"/>
    <x v="986"/>
    <x v="1"/>
  </r>
  <r>
    <x v="854"/>
    <x v="289"/>
    <x v="5"/>
    <x v="1"/>
    <x v="0"/>
    <x v="1"/>
    <x v="0"/>
    <x v="371"/>
    <x v="5"/>
    <x v="501"/>
    <x v="0"/>
  </r>
  <r>
    <x v="855"/>
    <x v="202"/>
    <x v="1"/>
    <x v="2"/>
    <x v="1"/>
    <x v="3"/>
    <x v="0"/>
    <x v="93"/>
    <x v="4"/>
    <x v="166"/>
    <x v="1"/>
  </r>
  <r>
    <x v="856"/>
    <x v="223"/>
    <x v="2"/>
    <x v="3"/>
    <x v="1"/>
    <x v="0"/>
    <x v="5"/>
    <x v="544"/>
    <x v="3"/>
    <x v="882"/>
    <x v="1"/>
  </r>
  <r>
    <x v="857"/>
    <x v="240"/>
    <x v="6"/>
    <x v="3"/>
    <x v="1"/>
    <x v="2"/>
    <x v="5"/>
    <x v="851"/>
    <x v="4"/>
    <x v="472"/>
    <x v="1"/>
  </r>
  <r>
    <x v="858"/>
    <x v="243"/>
    <x v="1"/>
    <x v="6"/>
    <x v="1"/>
    <x v="0"/>
    <x v="1"/>
    <x v="794"/>
    <x v="0"/>
    <x v="706"/>
    <x v="1"/>
  </r>
  <r>
    <x v="859"/>
    <x v="4"/>
    <x v="2"/>
    <x v="1"/>
    <x v="0"/>
    <x v="3"/>
    <x v="4"/>
    <x v="164"/>
    <x v="2"/>
    <x v="983"/>
    <x v="0"/>
  </r>
  <r>
    <x v="860"/>
    <x v="242"/>
    <x v="3"/>
    <x v="5"/>
    <x v="1"/>
    <x v="1"/>
    <x v="3"/>
    <x v="666"/>
    <x v="5"/>
    <x v="44"/>
    <x v="1"/>
  </r>
  <r>
    <x v="861"/>
    <x v="49"/>
    <x v="2"/>
    <x v="4"/>
    <x v="1"/>
    <x v="0"/>
    <x v="6"/>
    <x v="220"/>
    <x v="4"/>
    <x v="89"/>
    <x v="1"/>
  </r>
  <r>
    <x v="862"/>
    <x v="43"/>
    <x v="8"/>
    <x v="6"/>
    <x v="1"/>
    <x v="1"/>
    <x v="4"/>
    <x v="215"/>
    <x v="1"/>
    <x v="716"/>
    <x v="1"/>
  </r>
  <r>
    <x v="863"/>
    <x v="199"/>
    <x v="8"/>
    <x v="6"/>
    <x v="1"/>
    <x v="0"/>
    <x v="1"/>
    <x v="877"/>
    <x v="3"/>
    <x v="267"/>
    <x v="1"/>
  </r>
  <r>
    <x v="864"/>
    <x v="163"/>
    <x v="8"/>
    <x v="5"/>
    <x v="1"/>
    <x v="1"/>
    <x v="5"/>
    <x v="255"/>
    <x v="4"/>
    <x v="174"/>
    <x v="1"/>
  </r>
  <r>
    <x v="865"/>
    <x v="8"/>
    <x v="5"/>
    <x v="4"/>
    <x v="1"/>
    <x v="1"/>
    <x v="4"/>
    <x v="268"/>
    <x v="3"/>
    <x v="33"/>
    <x v="1"/>
  </r>
  <r>
    <x v="866"/>
    <x v="90"/>
    <x v="5"/>
    <x v="2"/>
    <x v="1"/>
    <x v="2"/>
    <x v="4"/>
    <x v="1"/>
    <x v="5"/>
    <x v="20"/>
    <x v="1"/>
  </r>
  <r>
    <x v="867"/>
    <x v="19"/>
    <x v="0"/>
    <x v="7"/>
    <x v="1"/>
    <x v="1"/>
    <x v="5"/>
    <x v="875"/>
    <x v="1"/>
    <x v="771"/>
    <x v="1"/>
  </r>
  <r>
    <x v="868"/>
    <x v="223"/>
    <x v="5"/>
    <x v="1"/>
    <x v="0"/>
    <x v="2"/>
    <x v="1"/>
    <x v="790"/>
    <x v="2"/>
    <x v="124"/>
    <x v="0"/>
  </r>
  <r>
    <x v="869"/>
    <x v="55"/>
    <x v="6"/>
    <x v="7"/>
    <x v="1"/>
    <x v="3"/>
    <x v="5"/>
    <x v="619"/>
    <x v="2"/>
    <x v="476"/>
    <x v="1"/>
  </r>
  <r>
    <x v="870"/>
    <x v="164"/>
    <x v="3"/>
    <x v="2"/>
    <x v="1"/>
    <x v="3"/>
    <x v="0"/>
    <x v="747"/>
    <x v="1"/>
    <x v="624"/>
    <x v="1"/>
  </r>
  <r>
    <x v="871"/>
    <x v="313"/>
    <x v="1"/>
    <x v="0"/>
    <x v="0"/>
    <x v="2"/>
    <x v="3"/>
    <x v="136"/>
    <x v="3"/>
    <x v="439"/>
    <x v="0"/>
  </r>
  <r>
    <x v="872"/>
    <x v="56"/>
    <x v="1"/>
    <x v="6"/>
    <x v="1"/>
    <x v="2"/>
    <x v="5"/>
    <x v="462"/>
    <x v="5"/>
    <x v="25"/>
    <x v="1"/>
  </r>
  <r>
    <x v="873"/>
    <x v="133"/>
    <x v="0"/>
    <x v="4"/>
    <x v="1"/>
    <x v="0"/>
    <x v="1"/>
    <x v="357"/>
    <x v="4"/>
    <x v="783"/>
    <x v="1"/>
  </r>
  <r>
    <x v="874"/>
    <x v="200"/>
    <x v="5"/>
    <x v="6"/>
    <x v="1"/>
    <x v="0"/>
    <x v="2"/>
    <x v="99"/>
    <x v="1"/>
    <x v="11"/>
    <x v="1"/>
  </r>
  <r>
    <x v="875"/>
    <x v="2"/>
    <x v="6"/>
    <x v="3"/>
    <x v="1"/>
    <x v="0"/>
    <x v="0"/>
    <x v="485"/>
    <x v="0"/>
    <x v="757"/>
    <x v="1"/>
  </r>
  <r>
    <x v="876"/>
    <x v="148"/>
    <x v="2"/>
    <x v="6"/>
    <x v="1"/>
    <x v="3"/>
    <x v="2"/>
    <x v="919"/>
    <x v="3"/>
    <x v="883"/>
    <x v="1"/>
  </r>
  <r>
    <x v="877"/>
    <x v="210"/>
    <x v="0"/>
    <x v="6"/>
    <x v="1"/>
    <x v="0"/>
    <x v="6"/>
    <x v="41"/>
    <x v="2"/>
    <x v="445"/>
    <x v="1"/>
  </r>
  <r>
    <x v="878"/>
    <x v="250"/>
    <x v="6"/>
    <x v="2"/>
    <x v="1"/>
    <x v="1"/>
    <x v="5"/>
    <x v="307"/>
    <x v="1"/>
    <x v="548"/>
    <x v="1"/>
  </r>
  <r>
    <x v="879"/>
    <x v="109"/>
    <x v="2"/>
    <x v="2"/>
    <x v="1"/>
    <x v="1"/>
    <x v="0"/>
    <x v="205"/>
    <x v="2"/>
    <x v="491"/>
    <x v="1"/>
  </r>
  <r>
    <x v="880"/>
    <x v="81"/>
    <x v="6"/>
    <x v="2"/>
    <x v="1"/>
    <x v="0"/>
    <x v="3"/>
    <x v="239"/>
    <x v="3"/>
    <x v="393"/>
    <x v="1"/>
  </r>
  <r>
    <x v="881"/>
    <x v="304"/>
    <x v="2"/>
    <x v="7"/>
    <x v="1"/>
    <x v="1"/>
    <x v="5"/>
    <x v="911"/>
    <x v="2"/>
    <x v="878"/>
    <x v="1"/>
  </r>
  <r>
    <x v="882"/>
    <x v="62"/>
    <x v="4"/>
    <x v="3"/>
    <x v="1"/>
    <x v="3"/>
    <x v="3"/>
    <x v="472"/>
    <x v="1"/>
    <x v="884"/>
    <x v="1"/>
  </r>
  <r>
    <x v="883"/>
    <x v="331"/>
    <x v="6"/>
    <x v="0"/>
    <x v="0"/>
    <x v="1"/>
    <x v="4"/>
    <x v="470"/>
    <x v="3"/>
    <x v="332"/>
    <x v="0"/>
  </r>
  <r>
    <x v="884"/>
    <x v="89"/>
    <x v="1"/>
    <x v="0"/>
    <x v="0"/>
    <x v="3"/>
    <x v="2"/>
    <x v="762"/>
    <x v="0"/>
    <x v="631"/>
    <x v="0"/>
  </r>
  <r>
    <x v="885"/>
    <x v="248"/>
    <x v="8"/>
    <x v="2"/>
    <x v="1"/>
    <x v="2"/>
    <x v="0"/>
    <x v="138"/>
    <x v="1"/>
    <x v="916"/>
    <x v="1"/>
  </r>
  <r>
    <x v="886"/>
    <x v="95"/>
    <x v="5"/>
    <x v="4"/>
    <x v="1"/>
    <x v="2"/>
    <x v="3"/>
    <x v="486"/>
    <x v="4"/>
    <x v="955"/>
    <x v="1"/>
  </r>
  <r>
    <x v="887"/>
    <x v="299"/>
    <x v="2"/>
    <x v="7"/>
    <x v="1"/>
    <x v="2"/>
    <x v="1"/>
    <x v="433"/>
    <x v="5"/>
    <x v="522"/>
    <x v="1"/>
  </r>
  <r>
    <x v="888"/>
    <x v="112"/>
    <x v="4"/>
    <x v="5"/>
    <x v="1"/>
    <x v="2"/>
    <x v="3"/>
    <x v="588"/>
    <x v="1"/>
    <x v="466"/>
    <x v="1"/>
  </r>
  <r>
    <x v="889"/>
    <x v="26"/>
    <x v="6"/>
    <x v="4"/>
    <x v="1"/>
    <x v="1"/>
    <x v="1"/>
    <x v="997"/>
    <x v="3"/>
    <x v="264"/>
    <x v="1"/>
  </r>
  <r>
    <x v="890"/>
    <x v="125"/>
    <x v="1"/>
    <x v="1"/>
    <x v="0"/>
    <x v="0"/>
    <x v="5"/>
    <x v="771"/>
    <x v="5"/>
    <x v="951"/>
    <x v="0"/>
  </r>
  <r>
    <x v="891"/>
    <x v="181"/>
    <x v="8"/>
    <x v="1"/>
    <x v="0"/>
    <x v="1"/>
    <x v="0"/>
    <x v="405"/>
    <x v="1"/>
    <x v="133"/>
    <x v="0"/>
  </r>
  <r>
    <x v="892"/>
    <x v="209"/>
    <x v="2"/>
    <x v="4"/>
    <x v="1"/>
    <x v="3"/>
    <x v="3"/>
    <x v="831"/>
    <x v="0"/>
    <x v="599"/>
    <x v="1"/>
  </r>
  <r>
    <x v="893"/>
    <x v="307"/>
    <x v="6"/>
    <x v="2"/>
    <x v="1"/>
    <x v="1"/>
    <x v="6"/>
    <x v="161"/>
    <x v="0"/>
    <x v="269"/>
    <x v="1"/>
  </r>
  <r>
    <x v="894"/>
    <x v="157"/>
    <x v="6"/>
    <x v="5"/>
    <x v="1"/>
    <x v="1"/>
    <x v="3"/>
    <x v="31"/>
    <x v="4"/>
    <x v="265"/>
    <x v="1"/>
  </r>
  <r>
    <x v="895"/>
    <x v="8"/>
    <x v="2"/>
    <x v="5"/>
    <x v="1"/>
    <x v="3"/>
    <x v="6"/>
    <x v="200"/>
    <x v="2"/>
    <x v="410"/>
    <x v="1"/>
  </r>
  <r>
    <x v="896"/>
    <x v="36"/>
    <x v="0"/>
    <x v="7"/>
    <x v="1"/>
    <x v="2"/>
    <x v="0"/>
    <x v="348"/>
    <x v="5"/>
    <x v="997"/>
    <x v="1"/>
  </r>
  <r>
    <x v="897"/>
    <x v="22"/>
    <x v="0"/>
    <x v="5"/>
    <x v="1"/>
    <x v="2"/>
    <x v="3"/>
    <x v="511"/>
    <x v="3"/>
    <x v="53"/>
    <x v="1"/>
  </r>
  <r>
    <x v="898"/>
    <x v="242"/>
    <x v="1"/>
    <x v="1"/>
    <x v="0"/>
    <x v="2"/>
    <x v="1"/>
    <x v="605"/>
    <x v="3"/>
    <x v="598"/>
    <x v="0"/>
  </r>
  <r>
    <x v="899"/>
    <x v="209"/>
    <x v="8"/>
    <x v="3"/>
    <x v="1"/>
    <x v="0"/>
    <x v="3"/>
    <x v="913"/>
    <x v="2"/>
    <x v="76"/>
    <x v="1"/>
  </r>
  <r>
    <x v="900"/>
    <x v="113"/>
    <x v="2"/>
    <x v="2"/>
    <x v="1"/>
    <x v="3"/>
    <x v="2"/>
    <x v="510"/>
    <x v="0"/>
    <x v="142"/>
    <x v="1"/>
  </r>
  <r>
    <x v="901"/>
    <x v="34"/>
    <x v="1"/>
    <x v="5"/>
    <x v="1"/>
    <x v="3"/>
    <x v="5"/>
    <x v="499"/>
    <x v="0"/>
    <x v="453"/>
    <x v="1"/>
  </r>
  <r>
    <x v="902"/>
    <x v="303"/>
    <x v="1"/>
    <x v="7"/>
    <x v="1"/>
    <x v="1"/>
    <x v="4"/>
    <x v="48"/>
    <x v="1"/>
    <x v="523"/>
    <x v="1"/>
  </r>
  <r>
    <x v="903"/>
    <x v="232"/>
    <x v="3"/>
    <x v="1"/>
    <x v="0"/>
    <x v="0"/>
    <x v="1"/>
    <x v="35"/>
    <x v="4"/>
    <x v="251"/>
    <x v="0"/>
  </r>
  <r>
    <x v="904"/>
    <x v="162"/>
    <x v="6"/>
    <x v="3"/>
    <x v="1"/>
    <x v="2"/>
    <x v="2"/>
    <x v="540"/>
    <x v="5"/>
    <x v="309"/>
    <x v="1"/>
  </r>
  <r>
    <x v="905"/>
    <x v="82"/>
    <x v="5"/>
    <x v="6"/>
    <x v="1"/>
    <x v="0"/>
    <x v="6"/>
    <x v="445"/>
    <x v="4"/>
    <x v="81"/>
    <x v="1"/>
  </r>
  <r>
    <x v="906"/>
    <x v="33"/>
    <x v="6"/>
    <x v="6"/>
    <x v="1"/>
    <x v="3"/>
    <x v="5"/>
    <x v="845"/>
    <x v="4"/>
    <x v="292"/>
    <x v="1"/>
  </r>
  <r>
    <x v="907"/>
    <x v="292"/>
    <x v="0"/>
    <x v="3"/>
    <x v="1"/>
    <x v="3"/>
    <x v="0"/>
    <x v="147"/>
    <x v="1"/>
    <x v="960"/>
    <x v="1"/>
  </r>
  <r>
    <x v="908"/>
    <x v="162"/>
    <x v="8"/>
    <x v="1"/>
    <x v="0"/>
    <x v="1"/>
    <x v="1"/>
    <x v="26"/>
    <x v="4"/>
    <x v="934"/>
    <x v="0"/>
  </r>
  <r>
    <x v="909"/>
    <x v="262"/>
    <x v="6"/>
    <x v="7"/>
    <x v="1"/>
    <x v="1"/>
    <x v="4"/>
    <x v="455"/>
    <x v="2"/>
    <x v="331"/>
    <x v="1"/>
  </r>
  <r>
    <x v="910"/>
    <x v="73"/>
    <x v="2"/>
    <x v="3"/>
    <x v="1"/>
    <x v="3"/>
    <x v="5"/>
    <x v="238"/>
    <x v="1"/>
    <x v="584"/>
    <x v="1"/>
  </r>
  <r>
    <x v="911"/>
    <x v="104"/>
    <x v="1"/>
    <x v="2"/>
    <x v="1"/>
    <x v="2"/>
    <x v="6"/>
    <x v="46"/>
    <x v="2"/>
    <x v="899"/>
    <x v="1"/>
  </r>
  <r>
    <x v="912"/>
    <x v="36"/>
    <x v="2"/>
    <x v="2"/>
    <x v="1"/>
    <x v="2"/>
    <x v="4"/>
    <x v="723"/>
    <x v="1"/>
    <x v="5"/>
    <x v="1"/>
  </r>
  <r>
    <x v="913"/>
    <x v="277"/>
    <x v="3"/>
    <x v="6"/>
    <x v="1"/>
    <x v="0"/>
    <x v="0"/>
    <x v="112"/>
    <x v="4"/>
    <x v="805"/>
    <x v="1"/>
  </r>
  <r>
    <x v="914"/>
    <x v="207"/>
    <x v="8"/>
    <x v="5"/>
    <x v="1"/>
    <x v="3"/>
    <x v="0"/>
    <x v="599"/>
    <x v="2"/>
    <x v="939"/>
    <x v="1"/>
  </r>
  <r>
    <x v="915"/>
    <x v="294"/>
    <x v="1"/>
    <x v="7"/>
    <x v="1"/>
    <x v="3"/>
    <x v="6"/>
    <x v="294"/>
    <x v="2"/>
    <x v="86"/>
    <x v="1"/>
  </r>
  <r>
    <x v="916"/>
    <x v="323"/>
    <x v="2"/>
    <x v="6"/>
    <x v="1"/>
    <x v="2"/>
    <x v="1"/>
    <x v="163"/>
    <x v="2"/>
    <x v="146"/>
    <x v="1"/>
  </r>
  <r>
    <x v="917"/>
    <x v="105"/>
    <x v="0"/>
    <x v="5"/>
    <x v="1"/>
    <x v="2"/>
    <x v="6"/>
    <x v="387"/>
    <x v="1"/>
    <x v="952"/>
    <x v="1"/>
  </r>
  <r>
    <x v="918"/>
    <x v="172"/>
    <x v="5"/>
    <x v="5"/>
    <x v="1"/>
    <x v="3"/>
    <x v="3"/>
    <x v="800"/>
    <x v="3"/>
    <x v="549"/>
    <x v="1"/>
  </r>
  <r>
    <x v="919"/>
    <x v="299"/>
    <x v="3"/>
    <x v="0"/>
    <x v="0"/>
    <x v="1"/>
    <x v="0"/>
    <x v="398"/>
    <x v="4"/>
    <x v="16"/>
    <x v="0"/>
  </r>
  <r>
    <x v="920"/>
    <x v="51"/>
    <x v="8"/>
    <x v="2"/>
    <x v="1"/>
    <x v="3"/>
    <x v="5"/>
    <x v="748"/>
    <x v="2"/>
    <x v="250"/>
    <x v="1"/>
  </r>
  <r>
    <x v="921"/>
    <x v="36"/>
    <x v="3"/>
    <x v="1"/>
    <x v="0"/>
    <x v="3"/>
    <x v="3"/>
    <x v="118"/>
    <x v="5"/>
    <x v="464"/>
    <x v="0"/>
  </r>
  <r>
    <x v="922"/>
    <x v="328"/>
    <x v="0"/>
    <x v="4"/>
    <x v="1"/>
    <x v="2"/>
    <x v="2"/>
    <x v="774"/>
    <x v="3"/>
    <x v="692"/>
    <x v="1"/>
  </r>
  <r>
    <x v="923"/>
    <x v="36"/>
    <x v="8"/>
    <x v="1"/>
    <x v="0"/>
    <x v="2"/>
    <x v="4"/>
    <x v="237"/>
    <x v="5"/>
    <x v="725"/>
    <x v="0"/>
  </r>
  <r>
    <x v="924"/>
    <x v="321"/>
    <x v="3"/>
    <x v="4"/>
    <x v="1"/>
    <x v="1"/>
    <x v="3"/>
    <x v="674"/>
    <x v="4"/>
    <x v="993"/>
    <x v="1"/>
  </r>
  <r>
    <x v="925"/>
    <x v="219"/>
    <x v="4"/>
    <x v="3"/>
    <x v="1"/>
    <x v="1"/>
    <x v="4"/>
    <x v="554"/>
    <x v="4"/>
    <x v="276"/>
    <x v="1"/>
  </r>
  <r>
    <x v="926"/>
    <x v="267"/>
    <x v="0"/>
    <x v="2"/>
    <x v="1"/>
    <x v="0"/>
    <x v="6"/>
    <x v="929"/>
    <x v="2"/>
    <x v="550"/>
    <x v="1"/>
  </r>
  <r>
    <x v="927"/>
    <x v="243"/>
    <x v="0"/>
    <x v="5"/>
    <x v="1"/>
    <x v="3"/>
    <x v="3"/>
    <x v="392"/>
    <x v="2"/>
    <x v="545"/>
    <x v="1"/>
  </r>
  <r>
    <x v="928"/>
    <x v="200"/>
    <x v="0"/>
    <x v="7"/>
    <x v="1"/>
    <x v="2"/>
    <x v="6"/>
    <x v="63"/>
    <x v="1"/>
    <x v="412"/>
    <x v="1"/>
  </r>
  <r>
    <x v="929"/>
    <x v="135"/>
    <x v="4"/>
    <x v="4"/>
    <x v="1"/>
    <x v="1"/>
    <x v="2"/>
    <x v="23"/>
    <x v="3"/>
    <x v="160"/>
    <x v="1"/>
  </r>
  <r>
    <x v="930"/>
    <x v="311"/>
    <x v="4"/>
    <x v="1"/>
    <x v="0"/>
    <x v="0"/>
    <x v="0"/>
    <x v="829"/>
    <x v="3"/>
    <x v="976"/>
    <x v="0"/>
  </r>
  <r>
    <x v="931"/>
    <x v="155"/>
    <x v="2"/>
    <x v="5"/>
    <x v="1"/>
    <x v="0"/>
    <x v="2"/>
    <x v="522"/>
    <x v="2"/>
    <x v="837"/>
    <x v="1"/>
  </r>
  <r>
    <x v="932"/>
    <x v="83"/>
    <x v="1"/>
    <x v="4"/>
    <x v="1"/>
    <x v="2"/>
    <x v="0"/>
    <x v="776"/>
    <x v="4"/>
    <x v="510"/>
    <x v="1"/>
  </r>
  <r>
    <x v="933"/>
    <x v="327"/>
    <x v="5"/>
    <x v="4"/>
    <x v="1"/>
    <x v="2"/>
    <x v="6"/>
    <x v="235"/>
    <x v="2"/>
    <x v="622"/>
    <x v="1"/>
  </r>
  <r>
    <x v="934"/>
    <x v="53"/>
    <x v="3"/>
    <x v="0"/>
    <x v="0"/>
    <x v="0"/>
    <x v="0"/>
    <x v="353"/>
    <x v="4"/>
    <x v="219"/>
    <x v="0"/>
  </r>
  <r>
    <x v="935"/>
    <x v="53"/>
    <x v="2"/>
    <x v="4"/>
    <x v="1"/>
    <x v="1"/>
    <x v="4"/>
    <x v="30"/>
    <x v="4"/>
    <x v="553"/>
    <x v="1"/>
  </r>
  <r>
    <x v="936"/>
    <x v="280"/>
    <x v="3"/>
    <x v="7"/>
    <x v="1"/>
    <x v="0"/>
    <x v="5"/>
    <x v="961"/>
    <x v="2"/>
    <x v="694"/>
    <x v="1"/>
  </r>
  <r>
    <x v="937"/>
    <x v="156"/>
    <x v="5"/>
    <x v="2"/>
    <x v="1"/>
    <x v="3"/>
    <x v="2"/>
    <x v="661"/>
    <x v="0"/>
    <x v="533"/>
    <x v="1"/>
  </r>
  <r>
    <x v="938"/>
    <x v="250"/>
    <x v="1"/>
    <x v="7"/>
    <x v="1"/>
    <x v="3"/>
    <x v="3"/>
    <x v="932"/>
    <x v="3"/>
    <x v="988"/>
    <x v="1"/>
  </r>
  <r>
    <x v="939"/>
    <x v="337"/>
    <x v="4"/>
    <x v="6"/>
    <x v="1"/>
    <x v="2"/>
    <x v="2"/>
    <x v="273"/>
    <x v="5"/>
    <x v="629"/>
    <x v="1"/>
  </r>
  <r>
    <x v="940"/>
    <x v="41"/>
    <x v="1"/>
    <x v="5"/>
    <x v="1"/>
    <x v="1"/>
    <x v="4"/>
    <x v="603"/>
    <x v="4"/>
    <x v="373"/>
    <x v="1"/>
  </r>
  <r>
    <x v="941"/>
    <x v="319"/>
    <x v="4"/>
    <x v="2"/>
    <x v="1"/>
    <x v="1"/>
    <x v="0"/>
    <x v="676"/>
    <x v="4"/>
    <x v="770"/>
    <x v="1"/>
  </r>
  <r>
    <x v="942"/>
    <x v="167"/>
    <x v="5"/>
    <x v="0"/>
    <x v="0"/>
    <x v="3"/>
    <x v="4"/>
    <x v="328"/>
    <x v="0"/>
    <x v="161"/>
    <x v="0"/>
  </r>
  <r>
    <x v="943"/>
    <x v="157"/>
    <x v="1"/>
    <x v="2"/>
    <x v="1"/>
    <x v="0"/>
    <x v="1"/>
    <x v="854"/>
    <x v="5"/>
    <x v="387"/>
    <x v="1"/>
  </r>
  <r>
    <x v="944"/>
    <x v="330"/>
    <x v="2"/>
    <x v="2"/>
    <x v="1"/>
    <x v="2"/>
    <x v="1"/>
    <x v="946"/>
    <x v="1"/>
    <x v="350"/>
    <x v="1"/>
  </r>
  <r>
    <x v="945"/>
    <x v="177"/>
    <x v="8"/>
    <x v="1"/>
    <x v="0"/>
    <x v="0"/>
    <x v="3"/>
    <x v="889"/>
    <x v="0"/>
    <x v="444"/>
    <x v="0"/>
  </r>
  <r>
    <x v="946"/>
    <x v="143"/>
    <x v="2"/>
    <x v="2"/>
    <x v="1"/>
    <x v="0"/>
    <x v="4"/>
    <x v="738"/>
    <x v="5"/>
    <x v="778"/>
    <x v="1"/>
  </r>
  <r>
    <x v="947"/>
    <x v="174"/>
    <x v="3"/>
    <x v="0"/>
    <x v="0"/>
    <x v="0"/>
    <x v="6"/>
    <x v="290"/>
    <x v="0"/>
    <x v="499"/>
    <x v="0"/>
  </r>
  <r>
    <x v="948"/>
    <x v="6"/>
    <x v="2"/>
    <x v="7"/>
    <x v="1"/>
    <x v="1"/>
    <x v="3"/>
    <x v="295"/>
    <x v="4"/>
    <x v="786"/>
    <x v="1"/>
  </r>
  <r>
    <x v="949"/>
    <x v="122"/>
    <x v="5"/>
    <x v="2"/>
    <x v="1"/>
    <x v="3"/>
    <x v="6"/>
    <x v="962"/>
    <x v="3"/>
    <x v="592"/>
    <x v="1"/>
  </r>
  <r>
    <x v="950"/>
    <x v="217"/>
    <x v="0"/>
    <x v="3"/>
    <x v="1"/>
    <x v="1"/>
    <x v="3"/>
    <x v="12"/>
    <x v="0"/>
    <x v="341"/>
    <x v="1"/>
  </r>
  <r>
    <x v="951"/>
    <x v="41"/>
    <x v="3"/>
    <x v="5"/>
    <x v="1"/>
    <x v="3"/>
    <x v="1"/>
    <x v="715"/>
    <x v="1"/>
    <x v="803"/>
    <x v="1"/>
  </r>
  <r>
    <x v="952"/>
    <x v="290"/>
    <x v="1"/>
    <x v="2"/>
    <x v="1"/>
    <x v="2"/>
    <x v="3"/>
    <x v="704"/>
    <x v="2"/>
    <x v="229"/>
    <x v="1"/>
  </r>
  <r>
    <x v="953"/>
    <x v="230"/>
    <x v="3"/>
    <x v="5"/>
    <x v="1"/>
    <x v="2"/>
    <x v="1"/>
    <x v="613"/>
    <x v="5"/>
    <x v="215"/>
    <x v="1"/>
  </r>
  <r>
    <x v="954"/>
    <x v="28"/>
    <x v="8"/>
    <x v="3"/>
    <x v="1"/>
    <x v="0"/>
    <x v="0"/>
    <x v="987"/>
    <x v="0"/>
    <x v="516"/>
    <x v="1"/>
  </r>
  <r>
    <x v="955"/>
    <x v="21"/>
    <x v="4"/>
    <x v="3"/>
    <x v="1"/>
    <x v="3"/>
    <x v="6"/>
    <x v="322"/>
    <x v="0"/>
    <x v="253"/>
    <x v="1"/>
  </r>
  <r>
    <x v="956"/>
    <x v="148"/>
    <x v="1"/>
    <x v="5"/>
    <x v="1"/>
    <x v="3"/>
    <x v="4"/>
    <x v="347"/>
    <x v="1"/>
    <x v="9"/>
    <x v="1"/>
  </r>
  <r>
    <x v="957"/>
    <x v="337"/>
    <x v="6"/>
    <x v="4"/>
    <x v="1"/>
    <x v="3"/>
    <x v="3"/>
    <x v="86"/>
    <x v="3"/>
    <x v="654"/>
    <x v="1"/>
  </r>
  <r>
    <x v="958"/>
    <x v="146"/>
    <x v="3"/>
    <x v="6"/>
    <x v="1"/>
    <x v="0"/>
    <x v="1"/>
    <x v="450"/>
    <x v="0"/>
    <x v="525"/>
    <x v="1"/>
  </r>
  <r>
    <x v="959"/>
    <x v="35"/>
    <x v="1"/>
    <x v="1"/>
    <x v="0"/>
    <x v="0"/>
    <x v="2"/>
    <x v="267"/>
    <x v="0"/>
    <x v="460"/>
    <x v="0"/>
  </r>
  <r>
    <x v="960"/>
    <x v="74"/>
    <x v="1"/>
    <x v="4"/>
    <x v="1"/>
    <x v="2"/>
    <x v="6"/>
    <x v="352"/>
    <x v="3"/>
    <x v="964"/>
    <x v="1"/>
  </r>
  <r>
    <x v="961"/>
    <x v="330"/>
    <x v="1"/>
    <x v="4"/>
    <x v="1"/>
    <x v="1"/>
    <x v="3"/>
    <x v="835"/>
    <x v="1"/>
    <x v="586"/>
    <x v="1"/>
  </r>
  <r>
    <x v="962"/>
    <x v="239"/>
    <x v="4"/>
    <x v="7"/>
    <x v="1"/>
    <x v="3"/>
    <x v="5"/>
    <x v="933"/>
    <x v="5"/>
    <x v="852"/>
    <x v="1"/>
  </r>
  <r>
    <x v="963"/>
    <x v="191"/>
    <x v="6"/>
    <x v="1"/>
    <x v="0"/>
    <x v="3"/>
    <x v="0"/>
    <x v="177"/>
    <x v="5"/>
    <x v="130"/>
    <x v="0"/>
  </r>
  <r>
    <x v="964"/>
    <x v="70"/>
    <x v="5"/>
    <x v="1"/>
    <x v="0"/>
    <x v="1"/>
    <x v="0"/>
    <x v="381"/>
    <x v="0"/>
    <x v="582"/>
    <x v="0"/>
  </r>
  <r>
    <x v="965"/>
    <x v="11"/>
    <x v="2"/>
    <x v="4"/>
    <x v="1"/>
    <x v="3"/>
    <x v="2"/>
    <x v="927"/>
    <x v="3"/>
    <x v="858"/>
    <x v="1"/>
  </r>
  <r>
    <x v="966"/>
    <x v="272"/>
    <x v="1"/>
    <x v="2"/>
    <x v="1"/>
    <x v="0"/>
    <x v="1"/>
    <x v="58"/>
    <x v="0"/>
    <x v="602"/>
    <x v="1"/>
  </r>
  <r>
    <x v="967"/>
    <x v="207"/>
    <x v="0"/>
    <x v="7"/>
    <x v="1"/>
    <x v="0"/>
    <x v="3"/>
    <x v="97"/>
    <x v="2"/>
    <x v="711"/>
    <x v="1"/>
  </r>
  <r>
    <x v="968"/>
    <x v="12"/>
    <x v="5"/>
    <x v="7"/>
    <x v="1"/>
    <x v="3"/>
    <x v="6"/>
    <x v="151"/>
    <x v="5"/>
    <x v="374"/>
    <x v="1"/>
  </r>
  <r>
    <x v="969"/>
    <x v="42"/>
    <x v="8"/>
    <x v="3"/>
    <x v="1"/>
    <x v="0"/>
    <x v="1"/>
    <x v="585"/>
    <x v="4"/>
    <x v="88"/>
    <x v="1"/>
  </r>
  <r>
    <x v="970"/>
    <x v="143"/>
    <x v="4"/>
    <x v="0"/>
    <x v="0"/>
    <x v="0"/>
    <x v="0"/>
    <x v="134"/>
    <x v="2"/>
    <x v="469"/>
    <x v="0"/>
  </r>
  <r>
    <x v="971"/>
    <x v="103"/>
    <x v="3"/>
    <x v="1"/>
    <x v="0"/>
    <x v="3"/>
    <x v="1"/>
    <x v="968"/>
    <x v="0"/>
    <x v="401"/>
    <x v="0"/>
  </r>
  <r>
    <x v="972"/>
    <x v="215"/>
    <x v="4"/>
    <x v="4"/>
    <x v="1"/>
    <x v="2"/>
    <x v="0"/>
    <x v="453"/>
    <x v="1"/>
    <x v="857"/>
    <x v="1"/>
  </r>
  <r>
    <x v="973"/>
    <x v="16"/>
    <x v="3"/>
    <x v="3"/>
    <x v="1"/>
    <x v="1"/>
    <x v="1"/>
    <x v="500"/>
    <x v="5"/>
    <x v="236"/>
    <x v="1"/>
  </r>
  <r>
    <x v="974"/>
    <x v="334"/>
    <x v="4"/>
    <x v="5"/>
    <x v="1"/>
    <x v="0"/>
    <x v="2"/>
    <x v="249"/>
    <x v="4"/>
    <x v="963"/>
    <x v="1"/>
  </r>
  <r>
    <x v="975"/>
    <x v="206"/>
    <x v="3"/>
    <x v="6"/>
    <x v="1"/>
    <x v="2"/>
    <x v="4"/>
    <x v="474"/>
    <x v="2"/>
    <x v="950"/>
    <x v="1"/>
  </r>
  <r>
    <x v="976"/>
    <x v="328"/>
    <x v="1"/>
    <x v="0"/>
    <x v="0"/>
    <x v="0"/>
    <x v="2"/>
    <x v="650"/>
    <x v="5"/>
    <x v="239"/>
    <x v="0"/>
  </r>
  <r>
    <x v="977"/>
    <x v="174"/>
    <x v="2"/>
    <x v="0"/>
    <x v="0"/>
    <x v="0"/>
    <x v="2"/>
    <x v="750"/>
    <x v="3"/>
    <x v="352"/>
    <x v="0"/>
  </r>
  <r>
    <x v="978"/>
    <x v="318"/>
    <x v="3"/>
    <x v="0"/>
    <x v="0"/>
    <x v="1"/>
    <x v="4"/>
    <x v="752"/>
    <x v="1"/>
    <x v="885"/>
    <x v="0"/>
  </r>
  <r>
    <x v="979"/>
    <x v="339"/>
    <x v="6"/>
    <x v="7"/>
    <x v="1"/>
    <x v="0"/>
    <x v="4"/>
    <x v="565"/>
    <x v="2"/>
    <x v="961"/>
    <x v="1"/>
  </r>
  <r>
    <x v="980"/>
    <x v="151"/>
    <x v="3"/>
    <x v="5"/>
    <x v="1"/>
    <x v="1"/>
    <x v="3"/>
    <x v="906"/>
    <x v="3"/>
    <x v="455"/>
    <x v="1"/>
  </r>
  <r>
    <x v="981"/>
    <x v="301"/>
    <x v="0"/>
    <x v="0"/>
    <x v="0"/>
    <x v="1"/>
    <x v="6"/>
    <x v="821"/>
    <x v="0"/>
    <x v="315"/>
    <x v="0"/>
  </r>
  <r>
    <x v="982"/>
    <x v="67"/>
    <x v="3"/>
    <x v="5"/>
    <x v="1"/>
    <x v="1"/>
    <x v="6"/>
    <x v="756"/>
    <x v="3"/>
    <x v="541"/>
    <x v="1"/>
  </r>
  <r>
    <x v="983"/>
    <x v="215"/>
    <x v="0"/>
    <x v="2"/>
    <x v="1"/>
    <x v="2"/>
    <x v="3"/>
    <x v="53"/>
    <x v="2"/>
    <x v="685"/>
    <x v="1"/>
  </r>
  <r>
    <x v="984"/>
    <x v="207"/>
    <x v="8"/>
    <x v="0"/>
    <x v="0"/>
    <x v="3"/>
    <x v="2"/>
    <x v="5"/>
    <x v="2"/>
    <x v="260"/>
    <x v="0"/>
  </r>
  <r>
    <x v="985"/>
    <x v="295"/>
    <x v="1"/>
    <x v="6"/>
    <x v="1"/>
    <x v="2"/>
    <x v="2"/>
    <x v="211"/>
    <x v="0"/>
    <x v="728"/>
    <x v="1"/>
  </r>
  <r>
    <x v="986"/>
    <x v="54"/>
    <x v="0"/>
    <x v="5"/>
    <x v="1"/>
    <x v="3"/>
    <x v="0"/>
    <x v="654"/>
    <x v="3"/>
    <x v="46"/>
    <x v="1"/>
  </r>
  <r>
    <x v="987"/>
    <x v="310"/>
    <x v="2"/>
    <x v="5"/>
    <x v="1"/>
    <x v="3"/>
    <x v="0"/>
    <x v="416"/>
    <x v="3"/>
    <x v="42"/>
    <x v="1"/>
  </r>
  <r>
    <x v="988"/>
    <x v="205"/>
    <x v="5"/>
    <x v="6"/>
    <x v="1"/>
    <x v="1"/>
    <x v="6"/>
    <x v="408"/>
    <x v="0"/>
    <x v="389"/>
    <x v="1"/>
  </r>
  <r>
    <x v="989"/>
    <x v="33"/>
    <x v="1"/>
    <x v="0"/>
    <x v="0"/>
    <x v="0"/>
    <x v="3"/>
    <x v="888"/>
    <x v="3"/>
    <x v="357"/>
    <x v="0"/>
  </r>
  <r>
    <x v="990"/>
    <x v="257"/>
    <x v="0"/>
    <x v="6"/>
    <x v="1"/>
    <x v="1"/>
    <x v="5"/>
    <x v="899"/>
    <x v="5"/>
    <x v="307"/>
    <x v="1"/>
  </r>
  <r>
    <x v="991"/>
    <x v="182"/>
    <x v="1"/>
    <x v="5"/>
    <x v="1"/>
    <x v="0"/>
    <x v="5"/>
    <x v="912"/>
    <x v="0"/>
    <x v="507"/>
    <x v="1"/>
  </r>
  <r>
    <x v="992"/>
    <x v="326"/>
    <x v="6"/>
    <x v="6"/>
    <x v="1"/>
    <x v="3"/>
    <x v="3"/>
    <x v="327"/>
    <x v="1"/>
    <x v="313"/>
    <x v="1"/>
  </r>
  <r>
    <x v="993"/>
    <x v="224"/>
    <x v="1"/>
    <x v="5"/>
    <x v="1"/>
    <x v="1"/>
    <x v="0"/>
    <x v="683"/>
    <x v="2"/>
    <x v="183"/>
    <x v="1"/>
  </r>
  <r>
    <x v="994"/>
    <x v="300"/>
    <x v="1"/>
    <x v="5"/>
    <x v="1"/>
    <x v="0"/>
    <x v="6"/>
    <x v="282"/>
    <x v="1"/>
    <x v="299"/>
    <x v="1"/>
  </r>
  <r>
    <x v="995"/>
    <x v="203"/>
    <x v="8"/>
    <x v="2"/>
    <x v="1"/>
    <x v="2"/>
    <x v="6"/>
    <x v="183"/>
    <x v="5"/>
    <x v="970"/>
    <x v="1"/>
  </r>
  <r>
    <x v="996"/>
    <x v="178"/>
    <x v="2"/>
    <x v="4"/>
    <x v="1"/>
    <x v="0"/>
    <x v="0"/>
    <x v="174"/>
    <x v="5"/>
    <x v="419"/>
    <x v="1"/>
  </r>
  <r>
    <x v="997"/>
    <x v="16"/>
    <x v="4"/>
    <x v="5"/>
    <x v="1"/>
    <x v="1"/>
    <x v="5"/>
    <x v="350"/>
    <x v="4"/>
    <x v="458"/>
    <x v="1"/>
  </r>
  <r>
    <x v="998"/>
    <x v="11"/>
    <x v="4"/>
    <x v="0"/>
    <x v="0"/>
    <x v="2"/>
    <x v="1"/>
    <x v="432"/>
    <x v="4"/>
    <x v="593"/>
    <x v="0"/>
  </r>
  <r>
    <x v="999"/>
    <x v="179"/>
    <x v="0"/>
    <x v="3"/>
    <x v="1"/>
    <x v="0"/>
    <x v="1"/>
    <x v="833"/>
    <x v="4"/>
    <x v="982"/>
    <x v="1"/>
  </r>
</pivotCacheRecords>
</file>

<file path=xl/pivotCache/pivotCacheRecords2.xml><?xml version="1.0" encoding="utf-8"?>
<pivotCacheRecords xmlns="http://schemas.openxmlformats.org/spreadsheetml/2006/main" count="1000">
  <r>
    <x v="0"/>
    <x v="133"/>
    <x v="1"/>
    <x v="1"/>
    <x v="0"/>
    <x v="2"/>
    <x v="2"/>
    <x v="133"/>
    <x v="5"/>
    <x v="90"/>
    <x v="0"/>
  </r>
  <r>
    <x v="1"/>
    <x v="187"/>
    <x v="3"/>
    <x v="5"/>
    <x v="1"/>
    <x v="1"/>
    <x v="6"/>
    <x v="6"/>
    <x v="4"/>
    <x v="164"/>
    <x v="1"/>
  </r>
  <r>
    <x v="2"/>
    <x v="196"/>
    <x v="6"/>
    <x v="2"/>
    <x v="1"/>
    <x v="1"/>
    <x v="2"/>
    <x v="622"/>
    <x v="5"/>
    <x v="789"/>
    <x v="1"/>
  </r>
  <r>
    <x v="3"/>
    <x v="204"/>
    <x v="4"/>
    <x v="1"/>
    <x v="0"/>
    <x v="1"/>
    <x v="2"/>
    <x v="454"/>
    <x v="4"/>
    <x v="678"/>
    <x v="0"/>
  </r>
  <r>
    <x v="4"/>
    <x v="222"/>
    <x v="3"/>
    <x v="3"/>
    <x v="1"/>
    <x v="2"/>
    <x v="1"/>
    <x v="124"/>
    <x v="0"/>
    <x v="560"/>
    <x v="1"/>
  </r>
  <r>
    <x v="5"/>
    <x v="42"/>
    <x v="3"/>
    <x v="0"/>
    <x v="0"/>
    <x v="3"/>
    <x v="5"/>
    <x v="956"/>
    <x v="3"/>
    <x v="487"/>
    <x v="0"/>
  </r>
  <r>
    <x v="6"/>
    <x v="31"/>
    <x v="1"/>
    <x v="2"/>
    <x v="1"/>
    <x v="1"/>
    <x v="5"/>
    <x v="524"/>
    <x v="5"/>
    <x v="911"/>
    <x v="1"/>
  </r>
  <r>
    <x v="7"/>
    <x v="234"/>
    <x v="6"/>
    <x v="2"/>
    <x v="1"/>
    <x v="2"/>
    <x v="5"/>
    <x v="244"/>
    <x v="4"/>
    <x v="69"/>
    <x v="1"/>
  </r>
  <r>
    <x v="8"/>
    <x v="74"/>
    <x v="5"/>
    <x v="1"/>
    <x v="0"/>
    <x v="3"/>
    <x v="3"/>
    <x v="498"/>
    <x v="1"/>
    <x v="266"/>
    <x v="0"/>
  </r>
  <r>
    <x v="9"/>
    <x v="237"/>
    <x v="8"/>
    <x v="6"/>
    <x v="1"/>
    <x v="1"/>
    <x v="4"/>
    <x v="677"/>
    <x v="1"/>
    <x v="354"/>
    <x v="1"/>
  </r>
  <r>
    <x v="10"/>
    <x v="183"/>
    <x v="2"/>
    <x v="3"/>
    <x v="1"/>
    <x v="0"/>
    <x v="5"/>
    <x v="82"/>
    <x v="5"/>
    <x v="780"/>
    <x v="1"/>
  </r>
  <r>
    <x v="11"/>
    <x v="279"/>
    <x v="2"/>
    <x v="1"/>
    <x v="0"/>
    <x v="3"/>
    <x v="2"/>
    <x v="286"/>
    <x v="3"/>
    <x v="991"/>
    <x v="0"/>
  </r>
  <r>
    <x v="12"/>
    <x v="9"/>
    <x v="4"/>
    <x v="3"/>
    <x v="1"/>
    <x v="1"/>
    <x v="2"/>
    <x v="812"/>
    <x v="5"/>
    <x v="232"/>
    <x v="1"/>
  </r>
  <r>
    <x v="13"/>
    <x v="288"/>
    <x v="4"/>
    <x v="3"/>
    <x v="1"/>
    <x v="3"/>
    <x v="5"/>
    <x v="466"/>
    <x v="0"/>
    <x v="862"/>
    <x v="1"/>
  </r>
  <r>
    <x v="14"/>
    <x v="264"/>
    <x v="2"/>
    <x v="0"/>
    <x v="0"/>
    <x v="3"/>
    <x v="6"/>
    <x v="537"/>
    <x v="4"/>
    <x v="822"/>
    <x v="0"/>
  </r>
  <r>
    <x v="15"/>
    <x v="224"/>
    <x v="8"/>
    <x v="2"/>
    <x v="1"/>
    <x v="3"/>
    <x v="5"/>
    <x v="437"/>
    <x v="0"/>
    <x v="216"/>
    <x v="1"/>
  </r>
  <r>
    <x v="16"/>
    <x v="232"/>
    <x v="2"/>
    <x v="5"/>
    <x v="1"/>
    <x v="3"/>
    <x v="2"/>
    <x v="44"/>
    <x v="1"/>
    <x v="404"/>
    <x v="1"/>
  </r>
  <r>
    <x v="17"/>
    <x v="339"/>
    <x v="7"/>
    <x v="0"/>
    <x v="0"/>
    <x v="3"/>
    <x v="3"/>
    <x v="155"/>
    <x v="4"/>
    <x v="416"/>
    <x v="0"/>
  </r>
  <r>
    <x v="18"/>
    <x v="4"/>
    <x v="8"/>
    <x v="0"/>
    <x v="0"/>
    <x v="3"/>
    <x v="0"/>
    <x v="452"/>
    <x v="5"/>
    <x v="977"/>
    <x v="0"/>
  </r>
  <r>
    <x v="19"/>
    <x v="108"/>
    <x v="4"/>
    <x v="3"/>
    <x v="1"/>
    <x v="1"/>
    <x v="0"/>
    <x v="206"/>
    <x v="0"/>
    <x v="170"/>
    <x v="1"/>
  </r>
  <r>
    <x v="20"/>
    <x v="267"/>
    <x v="0"/>
    <x v="7"/>
    <x v="1"/>
    <x v="0"/>
    <x v="5"/>
    <x v="47"/>
    <x v="2"/>
    <x v="793"/>
    <x v="1"/>
  </r>
  <r>
    <x v="21"/>
    <x v="59"/>
    <x v="1"/>
    <x v="2"/>
    <x v="1"/>
    <x v="2"/>
    <x v="1"/>
    <x v="849"/>
    <x v="3"/>
    <x v="328"/>
    <x v="1"/>
  </r>
  <r>
    <x v="22"/>
    <x v="134"/>
    <x v="5"/>
    <x v="6"/>
    <x v="1"/>
    <x v="3"/>
    <x v="5"/>
    <x v="984"/>
    <x v="3"/>
    <x v="723"/>
    <x v="1"/>
  </r>
  <r>
    <x v="23"/>
    <x v="207"/>
    <x v="5"/>
    <x v="0"/>
    <x v="0"/>
    <x v="2"/>
    <x v="6"/>
    <x v="793"/>
    <x v="2"/>
    <x v="430"/>
    <x v="0"/>
  </r>
  <r>
    <x v="24"/>
    <x v="221"/>
    <x v="6"/>
    <x v="5"/>
    <x v="1"/>
    <x v="1"/>
    <x v="5"/>
    <x v="857"/>
    <x v="1"/>
    <x v="597"/>
    <x v="1"/>
  </r>
  <r>
    <x v="25"/>
    <x v="163"/>
    <x v="4"/>
    <x v="7"/>
    <x v="1"/>
    <x v="1"/>
    <x v="0"/>
    <x v="245"/>
    <x v="4"/>
    <x v="823"/>
    <x v="1"/>
  </r>
  <r>
    <x v="26"/>
    <x v="248"/>
    <x v="4"/>
    <x v="7"/>
    <x v="1"/>
    <x v="1"/>
    <x v="2"/>
    <x v="959"/>
    <x v="3"/>
    <x v="798"/>
    <x v="1"/>
  </r>
  <r>
    <x v="27"/>
    <x v="316"/>
    <x v="3"/>
    <x v="6"/>
    <x v="1"/>
    <x v="2"/>
    <x v="5"/>
    <x v="192"/>
    <x v="2"/>
    <x v="856"/>
    <x v="1"/>
  </r>
  <r>
    <x v="28"/>
    <x v="260"/>
    <x v="5"/>
    <x v="0"/>
    <x v="0"/>
    <x v="3"/>
    <x v="2"/>
    <x v="950"/>
    <x v="5"/>
    <x v="58"/>
    <x v="0"/>
  </r>
  <r>
    <x v="29"/>
    <x v="57"/>
    <x v="3"/>
    <x v="5"/>
    <x v="1"/>
    <x v="1"/>
    <x v="2"/>
    <x v="990"/>
    <x v="2"/>
    <x v="691"/>
    <x v="1"/>
  </r>
  <r>
    <x v="30"/>
    <x v="201"/>
    <x v="3"/>
    <x v="2"/>
    <x v="1"/>
    <x v="0"/>
    <x v="1"/>
    <x v="709"/>
    <x v="1"/>
    <x v="131"/>
    <x v="1"/>
  </r>
  <r>
    <x v="31"/>
    <x v="317"/>
    <x v="1"/>
    <x v="4"/>
    <x v="1"/>
    <x v="2"/>
    <x v="2"/>
    <x v="982"/>
    <x v="1"/>
    <x v="422"/>
    <x v="1"/>
  </r>
  <r>
    <x v="32"/>
    <x v="291"/>
    <x v="3"/>
    <x v="5"/>
    <x v="1"/>
    <x v="2"/>
    <x v="0"/>
    <x v="557"/>
    <x v="0"/>
    <x v="562"/>
    <x v="1"/>
  </r>
  <r>
    <x v="33"/>
    <x v="261"/>
    <x v="8"/>
    <x v="6"/>
    <x v="1"/>
    <x v="3"/>
    <x v="3"/>
    <x v="264"/>
    <x v="3"/>
    <x v="408"/>
    <x v="1"/>
  </r>
  <r>
    <x v="34"/>
    <x v="163"/>
    <x v="2"/>
    <x v="7"/>
    <x v="1"/>
    <x v="0"/>
    <x v="3"/>
    <x v="443"/>
    <x v="0"/>
    <x v="537"/>
    <x v="1"/>
  </r>
  <r>
    <x v="35"/>
    <x v="89"/>
    <x v="0"/>
    <x v="2"/>
    <x v="1"/>
    <x v="0"/>
    <x v="4"/>
    <x v="584"/>
    <x v="2"/>
    <x v="995"/>
    <x v="1"/>
  </r>
  <r>
    <x v="36"/>
    <x v="95"/>
    <x v="4"/>
    <x v="5"/>
    <x v="1"/>
    <x v="0"/>
    <x v="6"/>
    <x v="78"/>
    <x v="4"/>
    <x v="125"/>
    <x v="1"/>
  </r>
  <r>
    <x v="37"/>
    <x v="90"/>
    <x v="8"/>
    <x v="4"/>
    <x v="1"/>
    <x v="0"/>
    <x v="5"/>
    <x v="611"/>
    <x v="4"/>
    <x v="674"/>
    <x v="1"/>
  </r>
  <r>
    <x v="38"/>
    <x v="287"/>
    <x v="0"/>
    <x v="4"/>
    <x v="1"/>
    <x v="1"/>
    <x v="6"/>
    <x v="983"/>
    <x v="1"/>
    <x v="403"/>
    <x v="1"/>
  </r>
  <r>
    <x v="39"/>
    <x v="5"/>
    <x v="5"/>
    <x v="3"/>
    <x v="1"/>
    <x v="0"/>
    <x v="0"/>
    <x v="182"/>
    <x v="4"/>
    <x v="121"/>
    <x v="1"/>
  </r>
  <r>
    <x v="40"/>
    <x v="183"/>
    <x v="5"/>
    <x v="3"/>
    <x v="1"/>
    <x v="2"/>
    <x v="2"/>
    <x v="791"/>
    <x v="4"/>
    <x v="144"/>
    <x v="1"/>
  </r>
  <r>
    <x v="41"/>
    <x v="325"/>
    <x v="5"/>
    <x v="1"/>
    <x v="0"/>
    <x v="2"/>
    <x v="3"/>
    <x v="909"/>
    <x v="4"/>
    <x v="940"/>
    <x v="0"/>
  </r>
  <r>
    <x v="42"/>
    <x v="122"/>
    <x v="8"/>
    <x v="6"/>
    <x v="1"/>
    <x v="1"/>
    <x v="6"/>
    <x v="940"/>
    <x v="2"/>
    <x v="867"/>
    <x v="1"/>
  </r>
  <r>
    <x v="43"/>
    <x v="332"/>
    <x v="8"/>
    <x v="0"/>
    <x v="0"/>
    <x v="2"/>
    <x v="0"/>
    <x v="958"/>
    <x v="4"/>
    <x v="893"/>
    <x v="0"/>
  </r>
  <r>
    <x v="44"/>
    <x v="240"/>
    <x v="4"/>
    <x v="5"/>
    <x v="1"/>
    <x v="2"/>
    <x v="3"/>
    <x v="520"/>
    <x v="5"/>
    <x v="989"/>
    <x v="1"/>
  </r>
  <r>
    <x v="45"/>
    <x v="21"/>
    <x v="2"/>
    <x v="5"/>
    <x v="1"/>
    <x v="0"/>
    <x v="2"/>
    <x v="978"/>
    <x v="4"/>
    <x v="205"/>
    <x v="1"/>
  </r>
  <r>
    <x v="46"/>
    <x v="48"/>
    <x v="6"/>
    <x v="0"/>
    <x v="0"/>
    <x v="2"/>
    <x v="6"/>
    <x v="757"/>
    <x v="4"/>
    <x v="360"/>
    <x v="0"/>
  </r>
  <r>
    <x v="47"/>
    <x v="153"/>
    <x v="3"/>
    <x v="1"/>
    <x v="0"/>
    <x v="1"/>
    <x v="3"/>
    <x v="149"/>
    <x v="0"/>
    <x v="669"/>
    <x v="0"/>
  </r>
  <r>
    <x v="48"/>
    <x v="188"/>
    <x v="5"/>
    <x v="7"/>
    <x v="1"/>
    <x v="0"/>
    <x v="5"/>
    <x v="478"/>
    <x v="2"/>
    <x v="497"/>
    <x v="1"/>
  </r>
  <r>
    <x v="49"/>
    <x v="75"/>
    <x v="1"/>
    <x v="7"/>
    <x v="1"/>
    <x v="3"/>
    <x v="5"/>
    <x v="717"/>
    <x v="1"/>
    <x v="425"/>
    <x v="1"/>
  </r>
  <r>
    <x v="50"/>
    <x v="133"/>
    <x v="2"/>
    <x v="1"/>
    <x v="0"/>
    <x v="0"/>
    <x v="4"/>
    <x v="250"/>
    <x v="0"/>
    <x v="364"/>
    <x v="0"/>
  </r>
  <r>
    <x v="51"/>
    <x v="77"/>
    <x v="1"/>
    <x v="7"/>
    <x v="1"/>
    <x v="1"/>
    <x v="4"/>
    <x v="630"/>
    <x v="3"/>
    <x v="607"/>
    <x v="1"/>
  </r>
  <r>
    <x v="52"/>
    <x v="71"/>
    <x v="4"/>
    <x v="3"/>
    <x v="1"/>
    <x v="0"/>
    <x v="3"/>
    <x v="657"/>
    <x v="2"/>
    <x v="590"/>
    <x v="1"/>
  </r>
  <r>
    <x v="53"/>
    <x v="0"/>
    <x v="4"/>
    <x v="5"/>
    <x v="1"/>
    <x v="0"/>
    <x v="0"/>
    <x v="150"/>
    <x v="5"/>
    <x v="147"/>
    <x v="1"/>
  </r>
  <r>
    <x v="54"/>
    <x v="46"/>
    <x v="4"/>
    <x v="1"/>
    <x v="0"/>
    <x v="1"/>
    <x v="5"/>
    <x v="553"/>
    <x v="2"/>
    <x v="482"/>
    <x v="0"/>
  </r>
  <r>
    <x v="55"/>
    <x v="160"/>
    <x v="0"/>
    <x v="5"/>
    <x v="1"/>
    <x v="0"/>
    <x v="0"/>
    <x v="773"/>
    <x v="3"/>
    <x v="568"/>
    <x v="1"/>
  </r>
  <r>
    <x v="56"/>
    <x v="190"/>
    <x v="1"/>
    <x v="0"/>
    <x v="0"/>
    <x v="1"/>
    <x v="0"/>
    <x v="495"/>
    <x v="3"/>
    <x v="583"/>
    <x v="1"/>
  </r>
  <r>
    <x v="57"/>
    <x v="241"/>
    <x v="2"/>
    <x v="4"/>
    <x v="1"/>
    <x v="1"/>
    <x v="3"/>
    <x v="14"/>
    <x v="3"/>
    <x v="208"/>
    <x v="1"/>
  </r>
  <r>
    <x v="58"/>
    <x v="266"/>
    <x v="6"/>
    <x v="3"/>
    <x v="1"/>
    <x v="3"/>
    <x v="0"/>
    <x v="9"/>
    <x v="1"/>
    <x v="737"/>
    <x v="1"/>
  </r>
  <r>
    <x v="59"/>
    <x v="30"/>
    <x v="2"/>
    <x v="2"/>
    <x v="1"/>
    <x v="2"/>
    <x v="5"/>
    <x v="366"/>
    <x v="4"/>
    <x v="23"/>
    <x v="1"/>
  </r>
  <r>
    <x v="60"/>
    <x v="322"/>
    <x v="8"/>
    <x v="3"/>
    <x v="1"/>
    <x v="2"/>
    <x v="2"/>
    <x v="923"/>
    <x v="2"/>
    <x v="359"/>
    <x v="1"/>
  </r>
  <r>
    <x v="61"/>
    <x v="86"/>
    <x v="8"/>
    <x v="1"/>
    <x v="0"/>
    <x v="0"/>
    <x v="4"/>
    <x v="226"/>
    <x v="4"/>
    <x v="777"/>
    <x v="0"/>
  </r>
  <r>
    <x v="62"/>
    <x v="65"/>
    <x v="5"/>
    <x v="2"/>
    <x v="1"/>
    <x v="0"/>
    <x v="2"/>
    <x v="626"/>
    <x v="4"/>
    <x v="576"/>
    <x v="1"/>
  </r>
  <r>
    <x v="63"/>
    <x v="35"/>
    <x v="6"/>
    <x v="4"/>
    <x v="1"/>
    <x v="3"/>
    <x v="0"/>
    <x v="222"/>
    <x v="5"/>
    <x v="254"/>
    <x v="1"/>
  </r>
  <r>
    <x v="64"/>
    <x v="142"/>
    <x v="8"/>
    <x v="1"/>
    <x v="0"/>
    <x v="3"/>
    <x v="2"/>
    <x v="330"/>
    <x v="3"/>
    <x v="693"/>
    <x v="0"/>
  </r>
  <r>
    <x v="65"/>
    <x v="231"/>
    <x v="4"/>
    <x v="6"/>
    <x v="1"/>
    <x v="3"/>
    <x v="5"/>
    <x v="853"/>
    <x v="1"/>
    <x v="580"/>
    <x v="1"/>
  </r>
  <r>
    <x v="66"/>
    <x v="150"/>
    <x v="2"/>
    <x v="5"/>
    <x v="1"/>
    <x v="1"/>
    <x v="5"/>
    <x v="726"/>
    <x v="5"/>
    <x v="787"/>
    <x v="1"/>
  </r>
  <r>
    <x v="67"/>
    <x v="107"/>
    <x v="1"/>
    <x v="4"/>
    <x v="1"/>
    <x v="3"/>
    <x v="0"/>
    <x v="101"/>
    <x v="0"/>
    <x v="727"/>
    <x v="1"/>
  </r>
  <r>
    <x v="68"/>
    <x v="240"/>
    <x v="4"/>
    <x v="5"/>
    <x v="1"/>
    <x v="3"/>
    <x v="3"/>
    <x v="430"/>
    <x v="1"/>
    <x v="627"/>
    <x v="1"/>
  </r>
  <r>
    <x v="69"/>
    <x v="282"/>
    <x v="0"/>
    <x v="7"/>
    <x v="1"/>
    <x v="0"/>
    <x v="2"/>
    <x v="28"/>
    <x v="4"/>
    <x v="504"/>
    <x v="1"/>
  </r>
  <r>
    <x v="70"/>
    <x v="42"/>
    <x v="8"/>
    <x v="6"/>
    <x v="1"/>
    <x v="3"/>
    <x v="3"/>
    <x v="479"/>
    <x v="1"/>
    <x v="122"/>
    <x v="1"/>
  </r>
  <r>
    <x v="71"/>
    <x v="42"/>
    <x v="4"/>
    <x v="6"/>
    <x v="1"/>
    <x v="1"/>
    <x v="3"/>
    <x v="652"/>
    <x v="3"/>
    <x v="255"/>
    <x v="1"/>
  </r>
  <r>
    <x v="72"/>
    <x v="218"/>
    <x v="4"/>
    <x v="4"/>
    <x v="1"/>
    <x v="1"/>
    <x v="1"/>
    <x v="117"/>
    <x v="0"/>
    <x v="428"/>
    <x v="1"/>
  </r>
  <r>
    <x v="73"/>
    <x v="205"/>
    <x v="0"/>
    <x v="6"/>
    <x v="1"/>
    <x v="0"/>
    <x v="0"/>
    <x v="304"/>
    <x v="3"/>
    <x v="615"/>
    <x v="1"/>
  </r>
  <r>
    <x v="74"/>
    <x v="232"/>
    <x v="3"/>
    <x v="2"/>
    <x v="1"/>
    <x v="3"/>
    <x v="4"/>
    <x v="404"/>
    <x v="0"/>
    <x v="531"/>
    <x v="1"/>
  </r>
  <r>
    <x v="75"/>
    <x v="289"/>
    <x v="2"/>
    <x v="6"/>
    <x v="1"/>
    <x v="3"/>
    <x v="5"/>
    <x v="918"/>
    <x v="5"/>
    <x v="277"/>
    <x v="1"/>
  </r>
  <r>
    <x v="76"/>
    <x v="102"/>
    <x v="1"/>
    <x v="5"/>
    <x v="1"/>
    <x v="1"/>
    <x v="5"/>
    <x v="989"/>
    <x v="4"/>
    <x v="6"/>
    <x v="1"/>
  </r>
  <r>
    <x v="77"/>
    <x v="236"/>
    <x v="5"/>
    <x v="5"/>
    <x v="1"/>
    <x v="3"/>
    <x v="0"/>
    <x v="45"/>
    <x v="0"/>
    <x v="509"/>
    <x v="1"/>
  </r>
  <r>
    <x v="78"/>
    <x v="279"/>
    <x v="3"/>
    <x v="1"/>
    <x v="0"/>
    <x v="3"/>
    <x v="6"/>
    <x v="764"/>
    <x v="0"/>
    <x v="274"/>
    <x v="0"/>
  </r>
  <r>
    <x v="79"/>
    <x v="192"/>
    <x v="8"/>
    <x v="5"/>
    <x v="1"/>
    <x v="3"/>
    <x v="6"/>
    <x v="379"/>
    <x v="0"/>
    <x v="726"/>
    <x v="1"/>
  </r>
  <r>
    <x v="80"/>
    <x v="212"/>
    <x v="4"/>
    <x v="1"/>
    <x v="0"/>
    <x v="2"/>
    <x v="6"/>
    <x v="399"/>
    <x v="1"/>
    <x v="22"/>
    <x v="0"/>
  </r>
  <r>
    <x v="81"/>
    <x v="316"/>
    <x v="6"/>
    <x v="5"/>
    <x v="1"/>
    <x v="0"/>
    <x v="4"/>
    <x v="754"/>
    <x v="5"/>
    <x v="604"/>
    <x v="1"/>
  </r>
  <r>
    <x v="82"/>
    <x v="60"/>
    <x v="0"/>
    <x v="2"/>
    <x v="1"/>
    <x v="2"/>
    <x v="5"/>
    <x v="917"/>
    <x v="1"/>
    <x v="932"/>
    <x v="1"/>
  </r>
  <r>
    <x v="83"/>
    <x v="68"/>
    <x v="0"/>
    <x v="0"/>
    <x v="0"/>
    <x v="0"/>
    <x v="0"/>
    <x v="948"/>
    <x v="4"/>
    <x v="163"/>
    <x v="0"/>
  </r>
  <r>
    <x v="84"/>
    <x v="93"/>
    <x v="6"/>
    <x v="1"/>
    <x v="0"/>
    <x v="1"/>
    <x v="5"/>
    <x v="564"/>
    <x v="0"/>
    <x v="481"/>
    <x v="0"/>
  </r>
  <r>
    <x v="85"/>
    <x v="178"/>
    <x v="2"/>
    <x v="3"/>
    <x v="1"/>
    <x v="3"/>
    <x v="3"/>
    <x v="367"/>
    <x v="5"/>
    <x v="87"/>
    <x v="1"/>
  </r>
  <r>
    <x v="86"/>
    <x v="233"/>
    <x v="3"/>
    <x v="7"/>
    <x v="1"/>
    <x v="0"/>
    <x v="2"/>
    <x v="787"/>
    <x v="5"/>
    <x v="640"/>
    <x v="1"/>
  </r>
  <r>
    <x v="87"/>
    <x v="209"/>
    <x v="5"/>
    <x v="4"/>
    <x v="1"/>
    <x v="2"/>
    <x v="2"/>
    <x v="259"/>
    <x v="2"/>
    <x v="565"/>
    <x v="1"/>
  </r>
  <r>
    <x v="88"/>
    <x v="271"/>
    <x v="7"/>
    <x v="5"/>
    <x v="1"/>
    <x v="3"/>
    <x v="5"/>
    <x v="552"/>
    <x v="4"/>
    <x v="414"/>
    <x v="1"/>
  </r>
  <r>
    <x v="89"/>
    <x v="282"/>
    <x v="6"/>
    <x v="6"/>
    <x v="1"/>
    <x v="1"/>
    <x v="1"/>
    <x v="368"/>
    <x v="5"/>
    <x v="539"/>
    <x v="1"/>
  </r>
  <r>
    <x v="90"/>
    <x v="89"/>
    <x v="4"/>
    <x v="0"/>
    <x v="0"/>
    <x v="0"/>
    <x v="4"/>
    <x v="642"/>
    <x v="0"/>
    <x v="886"/>
    <x v="0"/>
  </r>
  <r>
    <x v="91"/>
    <x v="313"/>
    <x v="6"/>
    <x v="5"/>
    <x v="1"/>
    <x v="0"/>
    <x v="6"/>
    <x v="240"/>
    <x v="0"/>
    <x v="188"/>
    <x v="1"/>
  </r>
  <r>
    <x v="92"/>
    <x v="264"/>
    <x v="2"/>
    <x v="6"/>
    <x v="1"/>
    <x v="0"/>
    <x v="4"/>
    <x v="185"/>
    <x v="5"/>
    <x v="21"/>
    <x v="1"/>
  </r>
  <r>
    <x v="93"/>
    <x v="310"/>
    <x v="1"/>
    <x v="7"/>
    <x v="1"/>
    <x v="3"/>
    <x v="4"/>
    <x v="916"/>
    <x v="1"/>
    <x v="850"/>
    <x v="1"/>
  </r>
  <r>
    <x v="94"/>
    <x v="321"/>
    <x v="0"/>
    <x v="7"/>
    <x v="1"/>
    <x v="2"/>
    <x v="3"/>
    <x v="104"/>
    <x v="4"/>
    <x v="595"/>
    <x v="1"/>
  </r>
  <r>
    <x v="95"/>
    <x v="284"/>
    <x v="0"/>
    <x v="7"/>
    <x v="1"/>
    <x v="2"/>
    <x v="4"/>
    <x v="506"/>
    <x v="0"/>
    <x v="881"/>
    <x v="1"/>
  </r>
  <r>
    <x v="96"/>
    <x v="230"/>
    <x v="8"/>
    <x v="6"/>
    <x v="1"/>
    <x v="0"/>
    <x v="2"/>
    <x v="221"/>
    <x v="5"/>
    <x v="611"/>
    <x v="1"/>
  </r>
  <r>
    <x v="97"/>
    <x v="154"/>
    <x v="8"/>
    <x v="5"/>
    <x v="1"/>
    <x v="1"/>
    <x v="3"/>
    <x v="38"/>
    <x v="0"/>
    <x v="804"/>
    <x v="1"/>
  </r>
  <r>
    <x v="98"/>
    <x v="310"/>
    <x v="6"/>
    <x v="7"/>
    <x v="1"/>
    <x v="1"/>
    <x v="0"/>
    <x v="36"/>
    <x v="5"/>
    <x v="441"/>
    <x v="1"/>
  </r>
  <r>
    <x v="99"/>
    <x v="27"/>
    <x v="5"/>
    <x v="2"/>
    <x v="1"/>
    <x v="2"/>
    <x v="4"/>
    <x v="165"/>
    <x v="4"/>
    <x v="745"/>
    <x v="1"/>
  </r>
  <r>
    <x v="100"/>
    <x v="229"/>
    <x v="4"/>
    <x v="1"/>
    <x v="0"/>
    <x v="1"/>
    <x v="4"/>
    <x v="873"/>
    <x v="5"/>
    <x v="903"/>
    <x v="0"/>
  </r>
  <r>
    <x v="101"/>
    <x v="96"/>
    <x v="1"/>
    <x v="6"/>
    <x v="1"/>
    <x v="2"/>
    <x v="0"/>
    <x v="297"/>
    <x v="2"/>
    <x v="587"/>
    <x v="1"/>
  </r>
  <r>
    <x v="102"/>
    <x v="46"/>
    <x v="3"/>
    <x v="6"/>
    <x v="1"/>
    <x v="0"/>
    <x v="4"/>
    <x v="947"/>
    <x v="5"/>
    <x v="169"/>
    <x v="1"/>
  </r>
  <r>
    <x v="103"/>
    <x v="73"/>
    <x v="2"/>
    <x v="5"/>
    <x v="1"/>
    <x v="2"/>
    <x v="0"/>
    <x v="571"/>
    <x v="5"/>
    <x v="257"/>
    <x v="1"/>
  </r>
  <r>
    <x v="104"/>
    <x v="122"/>
    <x v="5"/>
    <x v="6"/>
    <x v="1"/>
    <x v="2"/>
    <x v="3"/>
    <x v="442"/>
    <x v="4"/>
    <x v="193"/>
    <x v="1"/>
  </r>
  <r>
    <x v="105"/>
    <x v="263"/>
    <x v="4"/>
    <x v="6"/>
    <x v="1"/>
    <x v="0"/>
    <x v="2"/>
    <x v="568"/>
    <x v="5"/>
    <x v="237"/>
    <x v="1"/>
  </r>
  <r>
    <x v="106"/>
    <x v="126"/>
    <x v="8"/>
    <x v="7"/>
    <x v="1"/>
    <x v="1"/>
    <x v="0"/>
    <x v="515"/>
    <x v="4"/>
    <x v="296"/>
    <x v="1"/>
  </r>
  <r>
    <x v="107"/>
    <x v="170"/>
    <x v="6"/>
    <x v="5"/>
    <x v="1"/>
    <x v="2"/>
    <x v="1"/>
    <x v="759"/>
    <x v="2"/>
    <x v="570"/>
    <x v="1"/>
  </r>
  <r>
    <x v="108"/>
    <x v="305"/>
    <x v="2"/>
    <x v="7"/>
    <x v="1"/>
    <x v="2"/>
    <x v="0"/>
    <x v="298"/>
    <x v="4"/>
    <x v="605"/>
    <x v="1"/>
  </r>
  <r>
    <x v="109"/>
    <x v="253"/>
    <x v="8"/>
    <x v="1"/>
    <x v="0"/>
    <x v="0"/>
    <x v="4"/>
    <x v="359"/>
    <x v="0"/>
    <x v="436"/>
    <x v="0"/>
  </r>
  <r>
    <x v="110"/>
    <x v="315"/>
    <x v="6"/>
    <x v="0"/>
    <x v="0"/>
    <x v="1"/>
    <x v="6"/>
    <x v="897"/>
    <x v="4"/>
    <x v="632"/>
    <x v="0"/>
  </r>
  <r>
    <x v="111"/>
    <x v="63"/>
    <x v="2"/>
    <x v="1"/>
    <x v="0"/>
    <x v="2"/>
    <x v="6"/>
    <x v="943"/>
    <x v="2"/>
    <x v="75"/>
    <x v="0"/>
  </r>
  <r>
    <x v="112"/>
    <x v="30"/>
    <x v="3"/>
    <x v="0"/>
    <x v="0"/>
    <x v="0"/>
    <x v="3"/>
    <x v="896"/>
    <x v="3"/>
    <x v="83"/>
    <x v="0"/>
  </r>
  <r>
    <x v="113"/>
    <x v="243"/>
    <x v="4"/>
    <x v="7"/>
    <x v="1"/>
    <x v="2"/>
    <x v="5"/>
    <x v="423"/>
    <x v="5"/>
    <x v="162"/>
    <x v="1"/>
  </r>
  <r>
    <x v="114"/>
    <x v="48"/>
    <x v="2"/>
    <x v="1"/>
    <x v="0"/>
    <x v="3"/>
    <x v="3"/>
    <x v="780"/>
    <x v="4"/>
    <x v="535"/>
    <x v="0"/>
  </r>
  <r>
    <x v="115"/>
    <x v="190"/>
    <x v="1"/>
    <x v="5"/>
    <x v="1"/>
    <x v="0"/>
    <x v="5"/>
    <x v="477"/>
    <x v="5"/>
    <x v="210"/>
    <x v="1"/>
  </r>
  <r>
    <x v="116"/>
    <x v="115"/>
    <x v="5"/>
    <x v="4"/>
    <x v="1"/>
    <x v="1"/>
    <x v="6"/>
    <x v="494"/>
    <x v="1"/>
    <x v="271"/>
    <x v="1"/>
  </r>
  <r>
    <x v="117"/>
    <x v="217"/>
    <x v="0"/>
    <x v="7"/>
    <x v="1"/>
    <x v="1"/>
    <x v="6"/>
    <x v="201"/>
    <x v="0"/>
    <x v="406"/>
    <x v="1"/>
  </r>
  <r>
    <x v="118"/>
    <x v="39"/>
    <x v="1"/>
    <x v="0"/>
    <x v="0"/>
    <x v="1"/>
    <x v="0"/>
    <x v="581"/>
    <x v="0"/>
    <x v="807"/>
    <x v="0"/>
  </r>
  <r>
    <x v="119"/>
    <x v="222"/>
    <x v="1"/>
    <x v="2"/>
    <x v="1"/>
    <x v="1"/>
    <x v="2"/>
    <x v="178"/>
    <x v="1"/>
    <x v="15"/>
    <x v="1"/>
  </r>
  <r>
    <x v="120"/>
    <x v="101"/>
    <x v="5"/>
    <x v="0"/>
    <x v="0"/>
    <x v="2"/>
    <x v="1"/>
    <x v="339"/>
    <x v="1"/>
    <x v="658"/>
    <x v="0"/>
  </r>
  <r>
    <x v="121"/>
    <x v="230"/>
    <x v="0"/>
    <x v="2"/>
    <x v="1"/>
    <x v="2"/>
    <x v="3"/>
    <x v="859"/>
    <x v="4"/>
    <x v="668"/>
    <x v="1"/>
  </r>
  <r>
    <x v="122"/>
    <x v="139"/>
    <x v="1"/>
    <x v="6"/>
    <x v="1"/>
    <x v="1"/>
    <x v="4"/>
    <x v="204"/>
    <x v="1"/>
    <x v="792"/>
    <x v="1"/>
  </r>
  <r>
    <x v="123"/>
    <x v="169"/>
    <x v="2"/>
    <x v="1"/>
    <x v="0"/>
    <x v="1"/>
    <x v="5"/>
    <x v="77"/>
    <x v="3"/>
    <x v="922"/>
    <x v="0"/>
  </r>
  <r>
    <x v="124"/>
    <x v="311"/>
    <x v="2"/>
    <x v="2"/>
    <x v="1"/>
    <x v="1"/>
    <x v="4"/>
    <x v="73"/>
    <x v="5"/>
    <x v="18"/>
    <x v="1"/>
  </r>
  <r>
    <x v="125"/>
    <x v="86"/>
    <x v="2"/>
    <x v="0"/>
    <x v="0"/>
    <x v="2"/>
    <x v="2"/>
    <x v="937"/>
    <x v="5"/>
    <x v="141"/>
    <x v="0"/>
  </r>
  <r>
    <x v="126"/>
    <x v="7"/>
    <x v="0"/>
    <x v="6"/>
    <x v="1"/>
    <x v="1"/>
    <x v="5"/>
    <x v="507"/>
    <x v="2"/>
    <x v="876"/>
    <x v="1"/>
  </r>
  <r>
    <x v="127"/>
    <x v="334"/>
    <x v="1"/>
    <x v="4"/>
    <x v="1"/>
    <x v="1"/>
    <x v="3"/>
    <x v="413"/>
    <x v="1"/>
    <x v="471"/>
    <x v="1"/>
  </r>
  <r>
    <x v="128"/>
    <x v="170"/>
    <x v="6"/>
    <x v="5"/>
    <x v="1"/>
    <x v="3"/>
    <x v="0"/>
    <x v="815"/>
    <x v="1"/>
    <x v="578"/>
    <x v="1"/>
  </r>
  <r>
    <x v="129"/>
    <x v="259"/>
    <x v="0"/>
    <x v="5"/>
    <x v="1"/>
    <x v="3"/>
    <x v="4"/>
    <x v="836"/>
    <x v="3"/>
    <x v="662"/>
    <x v="1"/>
  </r>
  <r>
    <x v="130"/>
    <x v="181"/>
    <x v="2"/>
    <x v="5"/>
    <x v="1"/>
    <x v="1"/>
    <x v="2"/>
    <x v="340"/>
    <x v="0"/>
    <x v="680"/>
    <x v="1"/>
  </r>
  <r>
    <x v="131"/>
    <x v="326"/>
    <x v="5"/>
    <x v="2"/>
    <x v="1"/>
    <x v="0"/>
    <x v="3"/>
    <x v="686"/>
    <x v="0"/>
    <x v="920"/>
    <x v="1"/>
  </r>
  <r>
    <x v="132"/>
    <x v="181"/>
    <x v="1"/>
    <x v="4"/>
    <x v="1"/>
    <x v="1"/>
    <x v="6"/>
    <x v="772"/>
    <x v="5"/>
    <x v="996"/>
    <x v="1"/>
  </r>
  <r>
    <x v="133"/>
    <x v="143"/>
    <x v="1"/>
    <x v="2"/>
    <x v="1"/>
    <x v="3"/>
    <x v="6"/>
    <x v="640"/>
    <x v="5"/>
    <x v="714"/>
    <x v="1"/>
  </r>
  <r>
    <x v="134"/>
    <x v="84"/>
    <x v="8"/>
    <x v="1"/>
    <x v="0"/>
    <x v="0"/>
    <x v="3"/>
    <x v="135"/>
    <x v="4"/>
    <x v="275"/>
    <x v="0"/>
  </r>
  <r>
    <x v="135"/>
    <x v="148"/>
    <x v="8"/>
    <x v="2"/>
    <x v="1"/>
    <x v="0"/>
    <x v="3"/>
    <x v="878"/>
    <x v="3"/>
    <x v="868"/>
    <x v="1"/>
  </r>
  <r>
    <x v="136"/>
    <x v="55"/>
    <x v="3"/>
    <x v="4"/>
    <x v="1"/>
    <x v="1"/>
    <x v="3"/>
    <x v="531"/>
    <x v="2"/>
    <x v="41"/>
    <x v="1"/>
  </r>
  <r>
    <x v="137"/>
    <x v="111"/>
    <x v="6"/>
    <x v="4"/>
    <x v="1"/>
    <x v="3"/>
    <x v="5"/>
    <x v="296"/>
    <x v="2"/>
    <x v="222"/>
    <x v="1"/>
  </r>
  <r>
    <x v="138"/>
    <x v="46"/>
    <x v="6"/>
    <x v="1"/>
    <x v="0"/>
    <x v="3"/>
    <x v="3"/>
    <x v="428"/>
    <x v="3"/>
    <x v="888"/>
    <x v="0"/>
  </r>
  <r>
    <x v="139"/>
    <x v="256"/>
    <x v="4"/>
    <x v="4"/>
    <x v="1"/>
    <x v="0"/>
    <x v="4"/>
    <x v="37"/>
    <x v="2"/>
    <x v="247"/>
    <x v="1"/>
  </r>
  <r>
    <x v="140"/>
    <x v="4"/>
    <x v="6"/>
    <x v="0"/>
    <x v="0"/>
    <x v="1"/>
    <x v="2"/>
    <x v="120"/>
    <x v="0"/>
    <x v="214"/>
    <x v="0"/>
  </r>
  <r>
    <x v="141"/>
    <x v="83"/>
    <x v="8"/>
    <x v="4"/>
    <x v="1"/>
    <x v="2"/>
    <x v="5"/>
    <x v="769"/>
    <x v="2"/>
    <x v="127"/>
    <x v="1"/>
  </r>
  <r>
    <x v="142"/>
    <x v="157"/>
    <x v="0"/>
    <x v="5"/>
    <x v="1"/>
    <x v="2"/>
    <x v="3"/>
    <x v="0"/>
    <x v="2"/>
    <x v="846"/>
    <x v="1"/>
  </r>
  <r>
    <x v="143"/>
    <x v="293"/>
    <x v="6"/>
    <x v="0"/>
    <x v="0"/>
    <x v="3"/>
    <x v="1"/>
    <x v="419"/>
    <x v="3"/>
    <x v="511"/>
    <x v="0"/>
  </r>
  <r>
    <x v="144"/>
    <x v="20"/>
    <x v="8"/>
    <x v="0"/>
    <x v="0"/>
    <x v="2"/>
    <x v="1"/>
    <x v="521"/>
    <x v="3"/>
    <x v="673"/>
    <x v="0"/>
  </r>
  <r>
    <x v="145"/>
    <x v="301"/>
    <x v="3"/>
    <x v="1"/>
    <x v="0"/>
    <x v="3"/>
    <x v="2"/>
    <x v="998"/>
    <x v="2"/>
    <x v="230"/>
    <x v="0"/>
  </r>
  <r>
    <x v="146"/>
    <x v="0"/>
    <x v="1"/>
    <x v="3"/>
    <x v="1"/>
    <x v="3"/>
    <x v="6"/>
    <x v="974"/>
    <x v="1"/>
    <x v="753"/>
    <x v="1"/>
  </r>
  <r>
    <x v="147"/>
    <x v="122"/>
    <x v="6"/>
    <x v="3"/>
    <x v="1"/>
    <x v="3"/>
    <x v="0"/>
    <x v="225"/>
    <x v="3"/>
    <x v="755"/>
    <x v="1"/>
  </r>
  <r>
    <x v="148"/>
    <x v="215"/>
    <x v="3"/>
    <x v="4"/>
    <x v="1"/>
    <x v="2"/>
    <x v="0"/>
    <x v="316"/>
    <x v="4"/>
    <x v="304"/>
    <x v="1"/>
  </r>
  <r>
    <x v="149"/>
    <x v="11"/>
    <x v="1"/>
    <x v="0"/>
    <x v="0"/>
    <x v="3"/>
    <x v="6"/>
    <x v="315"/>
    <x v="4"/>
    <x v="417"/>
    <x v="0"/>
  </r>
  <r>
    <x v="150"/>
    <x v="320"/>
    <x v="5"/>
    <x v="3"/>
    <x v="1"/>
    <x v="0"/>
    <x v="5"/>
    <x v="231"/>
    <x v="0"/>
    <x v="207"/>
    <x v="1"/>
  </r>
  <r>
    <x v="151"/>
    <x v="42"/>
    <x v="5"/>
    <x v="3"/>
    <x v="1"/>
    <x v="1"/>
    <x v="5"/>
    <x v="2"/>
    <x v="2"/>
    <x v="973"/>
    <x v="1"/>
  </r>
  <r>
    <x v="152"/>
    <x v="30"/>
    <x v="1"/>
    <x v="4"/>
    <x v="1"/>
    <x v="1"/>
    <x v="5"/>
    <x v="728"/>
    <x v="1"/>
    <x v="652"/>
    <x v="1"/>
  </r>
  <r>
    <x v="153"/>
    <x v="71"/>
    <x v="6"/>
    <x v="3"/>
    <x v="1"/>
    <x v="3"/>
    <x v="0"/>
    <x v="964"/>
    <x v="0"/>
    <x v="924"/>
    <x v="1"/>
  </r>
  <r>
    <x v="154"/>
    <x v="202"/>
    <x v="4"/>
    <x v="2"/>
    <x v="1"/>
    <x v="1"/>
    <x v="1"/>
    <x v="224"/>
    <x v="2"/>
    <x v="293"/>
    <x v="1"/>
  </r>
  <r>
    <x v="155"/>
    <x v="277"/>
    <x v="8"/>
    <x v="6"/>
    <x v="1"/>
    <x v="2"/>
    <x v="0"/>
    <x v="653"/>
    <x v="3"/>
    <x v="779"/>
    <x v="1"/>
  </r>
  <r>
    <x v="156"/>
    <x v="66"/>
    <x v="0"/>
    <x v="1"/>
    <x v="0"/>
    <x v="2"/>
    <x v="4"/>
    <x v="740"/>
    <x v="4"/>
    <x v="763"/>
    <x v="0"/>
  </r>
  <r>
    <x v="157"/>
    <x v="260"/>
    <x v="0"/>
    <x v="6"/>
    <x v="1"/>
    <x v="1"/>
    <x v="3"/>
    <x v="855"/>
    <x v="5"/>
    <x v="689"/>
    <x v="1"/>
  </r>
  <r>
    <x v="158"/>
    <x v="230"/>
    <x v="2"/>
    <x v="4"/>
    <x v="1"/>
    <x v="2"/>
    <x v="5"/>
    <x v="424"/>
    <x v="1"/>
    <x v="957"/>
    <x v="1"/>
  </r>
  <r>
    <x v="159"/>
    <x v="43"/>
    <x v="1"/>
    <x v="5"/>
    <x v="1"/>
    <x v="1"/>
    <x v="1"/>
    <x v="314"/>
    <x v="5"/>
    <x v="398"/>
    <x v="1"/>
  </r>
  <r>
    <x v="160"/>
    <x v="110"/>
    <x v="0"/>
    <x v="1"/>
    <x v="0"/>
    <x v="1"/>
    <x v="2"/>
    <x v="334"/>
    <x v="4"/>
    <x v="117"/>
    <x v="0"/>
  </r>
  <r>
    <x v="161"/>
    <x v="198"/>
    <x v="6"/>
    <x v="4"/>
    <x v="1"/>
    <x v="1"/>
    <x v="2"/>
    <x v="710"/>
    <x v="5"/>
    <x v="671"/>
    <x v="1"/>
  </r>
  <r>
    <x v="162"/>
    <x v="221"/>
    <x v="4"/>
    <x v="0"/>
    <x v="0"/>
    <x v="3"/>
    <x v="3"/>
    <x v="818"/>
    <x v="3"/>
    <x v="722"/>
    <x v="0"/>
  </r>
  <r>
    <x v="163"/>
    <x v="51"/>
    <x v="1"/>
    <x v="5"/>
    <x v="1"/>
    <x v="1"/>
    <x v="1"/>
    <x v="171"/>
    <x v="2"/>
    <x v="589"/>
    <x v="1"/>
  </r>
  <r>
    <x v="164"/>
    <x v="324"/>
    <x v="4"/>
    <x v="6"/>
    <x v="1"/>
    <x v="3"/>
    <x v="0"/>
    <x v="376"/>
    <x v="3"/>
    <x v="204"/>
    <x v="1"/>
  </r>
  <r>
    <x v="165"/>
    <x v="97"/>
    <x v="6"/>
    <x v="4"/>
    <x v="1"/>
    <x v="1"/>
    <x v="0"/>
    <x v="905"/>
    <x v="5"/>
    <x v="515"/>
    <x v="1"/>
  </r>
  <r>
    <x v="166"/>
    <x v="295"/>
    <x v="0"/>
    <x v="0"/>
    <x v="0"/>
    <x v="1"/>
    <x v="4"/>
    <x v="811"/>
    <x v="3"/>
    <x v="303"/>
    <x v="0"/>
  </r>
  <r>
    <x v="167"/>
    <x v="44"/>
    <x v="0"/>
    <x v="1"/>
    <x v="0"/>
    <x v="1"/>
    <x v="4"/>
    <x v="985"/>
    <x v="4"/>
    <x v="438"/>
    <x v="0"/>
  </r>
  <r>
    <x v="168"/>
    <x v="55"/>
    <x v="2"/>
    <x v="1"/>
    <x v="0"/>
    <x v="2"/>
    <x v="0"/>
    <x v="753"/>
    <x v="1"/>
    <x v="650"/>
    <x v="0"/>
  </r>
  <r>
    <x v="169"/>
    <x v="312"/>
    <x v="0"/>
    <x v="7"/>
    <x v="1"/>
    <x v="3"/>
    <x v="2"/>
    <x v="401"/>
    <x v="3"/>
    <x v="741"/>
    <x v="1"/>
  </r>
  <r>
    <x v="170"/>
    <x v="23"/>
    <x v="1"/>
    <x v="0"/>
    <x v="0"/>
    <x v="3"/>
    <x v="5"/>
    <x v="580"/>
    <x v="4"/>
    <x v="223"/>
    <x v="0"/>
  </r>
  <r>
    <x v="171"/>
    <x v="269"/>
    <x v="6"/>
    <x v="2"/>
    <x v="1"/>
    <x v="1"/>
    <x v="2"/>
    <x v="647"/>
    <x v="1"/>
    <x v="411"/>
    <x v="1"/>
  </r>
  <r>
    <x v="172"/>
    <x v="238"/>
    <x v="5"/>
    <x v="3"/>
    <x v="1"/>
    <x v="1"/>
    <x v="4"/>
    <x v="85"/>
    <x v="2"/>
    <x v="258"/>
    <x v="1"/>
  </r>
  <r>
    <x v="173"/>
    <x v="7"/>
    <x v="6"/>
    <x v="5"/>
    <x v="1"/>
    <x v="2"/>
    <x v="3"/>
    <x v="535"/>
    <x v="5"/>
    <x v="192"/>
    <x v="1"/>
  </r>
  <r>
    <x v="174"/>
    <x v="103"/>
    <x v="1"/>
    <x v="0"/>
    <x v="0"/>
    <x v="2"/>
    <x v="0"/>
    <x v="708"/>
    <x v="2"/>
    <x v="782"/>
    <x v="0"/>
  </r>
  <r>
    <x v="175"/>
    <x v="329"/>
    <x v="1"/>
    <x v="7"/>
    <x v="1"/>
    <x v="2"/>
    <x v="4"/>
    <x v="156"/>
    <x v="0"/>
    <x v="896"/>
    <x v="1"/>
  </r>
  <r>
    <x v="176"/>
    <x v="234"/>
    <x v="2"/>
    <x v="3"/>
    <x v="1"/>
    <x v="3"/>
    <x v="4"/>
    <x v="781"/>
    <x v="4"/>
    <x v="372"/>
    <x v="1"/>
  </r>
  <r>
    <x v="177"/>
    <x v="166"/>
    <x v="2"/>
    <x v="3"/>
    <x v="1"/>
    <x v="3"/>
    <x v="5"/>
    <x v="575"/>
    <x v="1"/>
    <x v="746"/>
    <x v="1"/>
  </r>
  <r>
    <x v="178"/>
    <x v="192"/>
    <x v="0"/>
    <x v="4"/>
    <x v="1"/>
    <x v="3"/>
    <x v="0"/>
    <x v="953"/>
    <x v="3"/>
    <x v="887"/>
    <x v="1"/>
  </r>
  <r>
    <x v="179"/>
    <x v="279"/>
    <x v="3"/>
    <x v="3"/>
    <x v="1"/>
    <x v="1"/>
    <x v="5"/>
    <x v="43"/>
    <x v="2"/>
    <x v="832"/>
    <x v="1"/>
  </r>
  <r>
    <x v="180"/>
    <x v="116"/>
    <x v="6"/>
    <x v="2"/>
    <x v="1"/>
    <x v="3"/>
    <x v="0"/>
    <x v="272"/>
    <x v="1"/>
    <x v="172"/>
    <x v="1"/>
  </r>
  <r>
    <x v="181"/>
    <x v="51"/>
    <x v="6"/>
    <x v="1"/>
    <x v="0"/>
    <x v="0"/>
    <x v="5"/>
    <x v="593"/>
    <x v="4"/>
    <x v="948"/>
    <x v="0"/>
  </r>
  <r>
    <x v="182"/>
    <x v="198"/>
    <x v="3"/>
    <x v="7"/>
    <x v="1"/>
    <x v="0"/>
    <x v="2"/>
    <x v="309"/>
    <x v="0"/>
    <x v="377"/>
    <x v="1"/>
  </r>
  <r>
    <x v="183"/>
    <x v="13"/>
    <x v="2"/>
    <x v="3"/>
    <x v="1"/>
    <x v="2"/>
    <x v="3"/>
    <x v="713"/>
    <x v="2"/>
    <x v="336"/>
    <x v="1"/>
  </r>
  <r>
    <x v="184"/>
    <x v="25"/>
    <x v="0"/>
    <x v="4"/>
    <x v="1"/>
    <x v="3"/>
    <x v="3"/>
    <x v="760"/>
    <x v="5"/>
    <x v="61"/>
    <x v="1"/>
  </r>
  <r>
    <x v="185"/>
    <x v="71"/>
    <x v="3"/>
    <x v="2"/>
    <x v="1"/>
    <x v="0"/>
    <x v="0"/>
    <x v="106"/>
    <x v="1"/>
    <x v="503"/>
    <x v="1"/>
  </r>
  <r>
    <x v="186"/>
    <x v="200"/>
    <x v="0"/>
    <x v="6"/>
    <x v="1"/>
    <x v="2"/>
    <x v="1"/>
    <x v="512"/>
    <x v="5"/>
    <x v="99"/>
    <x v="1"/>
  </r>
  <r>
    <x v="187"/>
    <x v="339"/>
    <x v="0"/>
    <x v="1"/>
    <x v="0"/>
    <x v="3"/>
    <x v="6"/>
    <x v="509"/>
    <x v="1"/>
    <x v="240"/>
    <x v="0"/>
  </r>
  <r>
    <x v="188"/>
    <x v="142"/>
    <x v="0"/>
    <x v="1"/>
    <x v="0"/>
    <x v="1"/>
    <x v="4"/>
    <x v="374"/>
    <x v="1"/>
    <x v="310"/>
    <x v="0"/>
  </r>
  <r>
    <x v="189"/>
    <x v="13"/>
    <x v="8"/>
    <x v="7"/>
    <x v="1"/>
    <x v="0"/>
    <x v="4"/>
    <x v="931"/>
    <x v="4"/>
    <x v="802"/>
    <x v="1"/>
  </r>
  <r>
    <x v="190"/>
    <x v="173"/>
    <x v="1"/>
    <x v="1"/>
    <x v="0"/>
    <x v="1"/>
    <x v="0"/>
    <x v="830"/>
    <x v="4"/>
    <x v="863"/>
    <x v="0"/>
  </r>
  <r>
    <x v="191"/>
    <x v="288"/>
    <x v="0"/>
    <x v="3"/>
    <x v="1"/>
    <x v="3"/>
    <x v="5"/>
    <x v="693"/>
    <x v="4"/>
    <x v="290"/>
    <x v="1"/>
  </r>
  <r>
    <x v="192"/>
    <x v="6"/>
    <x v="8"/>
    <x v="4"/>
    <x v="1"/>
    <x v="0"/>
    <x v="1"/>
    <x v="712"/>
    <x v="3"/>
    <x v="845"/>
    <x v="1"/>
  </r>
  <r>
    <x v="193"/>
    <x v="2"/>
    <x v="2"/>
    <x v="1"/>
    <x v="0"/>
    <x v="3"/>
    <x v="2"/>
    <x v="467"/>
    <x v="1"/>
    <x v="840"/>
    <x v="0"/>
  </r>
  <r>
    <x v="194"/>
    <x v="101"/>
    <x v="3"/>
    <x v="1"/>
    <x v="0"/>
    <x v="1"/>
    <x v="5"/>
    <x v="921"/>
    <x v="2"/>
    <x v="761"/>
    <x v="0"/>
  </r>
  <r>
    <x v="195"/>
    <x v="220"/>
    <x v="1"/>
    <x v="6"/>
    <x v="1"/>
    <x v="0"/>
    <x v="5"/>
    <x v="688"/>
    <x v="5"/>
    <x v="135"/>
    <x v="1"/>
  </r>
  <r>
    <x v="196"/>
    <x v="337"/>
    <x v="5"/>
    <x v="6"/>
    <x v="1"/>
    <x v="1"/>
    <x v="0"/>
    <x v="727"/>
    <x v="4"/>
    <x v="687"/>
    <x v="1"/>
  </r>
  <r>
    <x v="197"/>
    <x v="221"/>
    <x v="3"/>
    <x v="5"/>
    <x v="1"/>
    <x v="3"/>
    <x v="0"/>
    <x v="865"/>
    <x v="4"/>
    <x v="935"/>
    <x v="1"/>
  </r>
  <r>
    <x v="198"/>
    <x v="254"/>
    <x v="1"/>
    <x v="2"/>
    <x v="1"/>
    <x v="3"/>
    <x v="4"/>
    <x v="285"/>
    <x v="5"/>
    <x v="682"/>
    <x v="1"/>
  </r>
  <r>
    <x v="199"/>
    <x v="271"/>
    <x v="5"/>
    <x v="3"/>
    <x v="1"/>
    <x v="1"/>
    <x v="0"/>
    <x v="813"/>
    <x v="5"/>
    <x v="324"/>
    <x v="1"/>
  </r>
  <r>
    <x v="200"/>
    <x v="210"/>
    <x v="3"/>
    <x v="1"/>
    <x v="0"/>
    <x v="0"/>
    <x v="0"/>
    <x v="189"/>
    <x v="1"/>
    <x v="512"/>
    <x v="0"/>
  </r>
  <r>
    <x v="201"/>
    <x v="14"/>
    <x v="1"/>
    <x v="0"/>
    <x v="0"/>
    <x v="1"/>
    <x v="0"/>
    <x v="354"/>
    <x v="4"/>
    <x v="653"/>
    <x v="0"/>
  </r>
  <r>
    <x v="202"/>
    <x v="178"/>
    <x v="3"/>
    <x v="1"/>
    <x v="0"/>
    <x v="3"/>
    <x v="4"/>
    <x v="345"/>
    <x v="5"/>
    <x v="524"/>
    <x v="0"/>
  </r>
  <r>
    <x v="203"/>
    <x v="108"/>
    <x v="3"/>
    <x v="4"/>
    <x v="1"/>
    <x v="1"/>
    <x v="2"/>
    <x v="979"/>
    <x v="3"/>
    <x v="107"/>
    <x v="1"/>
  </r>
  <r>
    <x v="204"/>
    <x v="25"/>
    <x v="5"/>
    <x v="5"/>
    <x v="1"/>
    <x v="3"/>
    <x v="2"/>
    <x v="860"/>
    <x v="3"/>
    <x v="302"/>
    <x v="1"/>
  </r>
  <r>
    <x v="205"/>
    <x v="188"/>
    <x v="3"/>
    <x v="2"/>
    <x v="1"/>
    <x v="1"/>
    <x v="6"/>
    <x v="697"/>
    <x v="4"/>
    <x v="796"/>
    <x v="1"/>
  </r>
  <r>
    <x v="206"/>
    <x v="35"/>
    <x v="3"/>
    <x v="0"/>
    <x v="0"/>
    <x v="0"/>
    <x v="6"/>
    <x v="725"/>
    <x v="5"/>
    <x v="848"/>
    <x v="0"/>
  </r>
  <r>
    <x v="207"/>
    <x v="253"/>
    <x v="5"/>
    <x v="5"/>
    <x v="1"/>
    <x v="0"/>
    <x v="0"/>
    <x v="549"/>
    <x v="1"/>
    <x v="126"/>
    <x v="1"/>
  </r>
  <r>
    <x v="208"/>
    <x v="213"/>
    <x v="2"/>
    <x v="7"/>
    <x v="1"/>
    <x v="1"/>
    <x v="6"/>
    <x v="945"/>
    <x v="1"/>
    <x v="942"/>
    <x v="1"/>
  </r>
  <r>
    <x v="209"/>
    <x v="78"/>
    <x v="0"/>
    <x v="2"/>
    <x v="1"/>
    <x v="1"/>
    <x v="4"/>
    <x v="493"/>
    <x v="1"/>
    <x v="322"/>
    <x v="1"/>
  </r>
  <r>
    <x v="210"/>
    <x v="115"/>
    <x v="6"/>
    <x v="1"/>
    <x v="0"/>
    <x v="0"/>
    <x v="2"/>
    <x v="388"/>
    <x v="0"/>
    <x v="661"/>
    <x v="0"/>
  </r>
  <r>
    <x v="211"/>
    <x v="276"/>
    <x v="4"/>
    <x v="1"/>
    <x v="0"/>
    <x v="3"/>
    <x v="5"/>
    <x v="152"/>
    <x v="4"/>
    <x v="998"/>
    <x v="0"/>
  </r>
  <r>
    <x v="212"/>
    <x v="22"/>
    <x v="8"/>
    <x v="2"/>
    <x v="1"/>
    <x v="0"/>
    <x v="2"/>
    <x v="785"/>
    <x v="1"/>
    <x v="808"/>
    <x v="1"/>
  </r>
  <r>
    <x v="213"/>
    <x v="133"/>
    <x v="4"/>
    <x v="1"/>
    <x v="0"/>
    <x v="3"/>
    <x v="2"/>
    <x v="732"/>
    <x v="3"/>
    <x v="936"/>
    <x v="0"/>
  </r>
  <r>
    <x v="214"/>
    <x v="12"/>
    <x v="4"/>
    <x v="3"/>
    <x v="1"/>
    <x v="1"/>
    <x v="4"/>
    <x v="390"/>
    <x v="5"/>
    <x v="305"/>
    <x v="1"/>
  </r>
  <r>
    <x v="215"/>
    <x v="196"/>
    <x v="1"/>
    <x v="2"/>
    <x v="1"/>
    <x v="1"/>
    <x v="6"/>
    <x v="27"/>
    <x v="2"/>
    <x v="844"/>
    <x v="1"/>
  </r>
  <r>
    <x v="216"/>
    <x v="22"/>
    <x v="0"/>
    <x v="5"/>
    <x v="1"/>
    <x v="3"/>
    <x v="5"/>
    <x v="844"/>
    <x v="2"/>
    <x v="119"/>
    <x v="1"/>
  </r>
  <r>
    <x v="217"/>
    <x v="62"/>
    <x v="1"/>
    <x v="2"/>
    <x v="1"/>
    <x v="1"/>
    <x v="4"/>
    <x v="13"/>
    <x v="1"/>
    <x v="701"/>
    <x v="1"/>
  </r>
  <r>
    <x v="218"/>
    <x v="61"/>
    <x v="0"/>
    <x v="0"/>
    <x v="0"/>
    <x v="3"/>
    <x v="0"/>
    <x v="699"/>
    <x v="2"/>
    <x v="736"/>
    <x v="0"/>
  </r>
  <r>
    <x v="219"/>
    <x v="215"/>
    <x v="5"/>
    <x v="1"/>
    <x v="0"/>
    <x v="2"/>
    <x v="3"/>
    <x v="971"/>
    <x v="2"/>
    <x v="679"/>
    <x v="0"/>
  </r>
  <r>
    <x v="220"/>
    <x v="99"/>
    <x v="5"/>
    <x v="3"/>
    <x v="1"/>
    <x v="0"/>
    <x v="2"/>
    <x v="444"/>
    <x v="0"/>
    <x v="246"/>
    <x v="1"/>
  </r>
  <r>
    <x v="221"/>
    <x v="134"/>
    <x v="6"/>
    <x v="3"/>
    <x v="1"/>
    <x v="2"/>
    <x v="3"/>
    <x v="236"/>
    <x v="3"/>
    <x v="861"/>
    <x v="1"/>
  </r>
  <r>
    <x v="222"/>
    <x v="101"/>
    <x v="0"/>
    <x v="7"/>
    <x v="1"/>
    <x v="3"/>
    <x v="4"/>
    <x v="701"/>
    <x v="3"/>
    <x v="159"/>
    <x v="1"/>
  </r>
  <r>
    <x v="223"/>
    <x v="211"/>
    <x v="3"/>
    <x v="5"/>
    <x v="1"/>
    <x v="0"/>
    <x v="4"/>
    <x v="820"/>
    <x v="0"/>
    <x v="49"/>
    <x v="1"/>
  </r>
  <r>
    <x v="224"/>
    <x v="101"/>
    <x v="2"/>
    <x v="6"/>
    <x v="1"/>
    <x v="3"/>
    <x v="4"/>
    <x v="536"/>
    <x v="0"/>
    <x v="709"/>
    <x v="1"/>
  </r>
  <r>
    <x v="225"/>
    <x v="30"/>
    <x v="6"/>
    <x v="6"/>
    <x v="1"/>
    <x v="0"/>
    <x v="3"/>
    <x v="965"/>
    <x v="2"/>
    <x v="490"/>
    <x v="1"/>
  </r>
  <r>
    <x v="226"/>
    <x v="101"/>
    <x v="6"/>
    <x v="2"/>
    <x v="1"/>
    <x v="0"/>
    <x v="4"/>
    <x v="49"/>
    <x v="4"/>
    <x v="835"/>
    <x v="1"/>
  </r>
  <r>
    <x v="227"/>
    <x v="245"/>
    <x v="3"/>
    <x v="7"/>
    <x v="1"/>
    <x v="0"/>
    <x v="0"/>
    <x v="503"/>
    <x v="5"/>
    <x v="386"/>
    <x v="1"/>
  </r>
  <r>
    <x v="228"/>
    <x v="218"/>
    <x v="2"/>
    <x v="4"/>
    <x v="1"/>
    <x v="0"/>
    <x v="4"/>
    <x v="718"/>
    <x v="5"/>
    <x v="157"/>
    <x v="1"/>
  </r>
  <r>
    <x v="229"/>
    <x v="75"/>
    <x v="1"/>
    <x v="2"/>
    <x v="1"/>
    <x v="3"/>
    <x v="1"/>
    <x v="867"/>
    <x v="2"/>
    <x v="825"/>
    <x v="1"/>
  </r>
  <r>
    <x v="230"/>
    <x v="38"/>
    <x v="2"/>
    <x v="7"/>
    <x v="1"/>
    <x v="0"/>
    <x v="6"/>
    <x v="168"/>
    <x v="5"/>
    <x v="563"/>
    <x v="1"/>
  </r>
  <r>
    <x v="231"/>
    <x v="91"/>
    <x v="1"/>
    <x v="5"/>
    <x v="1"/>
    <x v="0"/>
    <x v="3"/>
    <x v="799"/>
    <x v="0"/>
    <x v="178"/>
    <x v="1"/>
  </r>
  <r>
    <x v="232"/>
    <x v="5"/>
    <x v="5"/>
    <x v="5"/>
    <x v="1"/>
    <x v="2"/>
    <x v="1"/>
    <x v="542"/>
    <x v="3"/>
    <x v="715"/>
    <x v="1"/>
  </r>
  <r>
    <x v="233"/>
    <x v="166"/>
    <x v="4"/>
    <x v="5"/>
    <x v="1"/>
    <x v="1"/>
    <x v="4"/>
    <x v="402"/>
    <x v="5"/>
    <x v="526"/>
    <x v="1"/>
  </r>
  <r>
    <x v="234"/>
    <x v="260"/>
    <x v="5"/>
    <x v="5"/>
    <x v="1"/>
    <x v="1"/>
    <x v="0"/>
    <x v="123"/>
    <x v="2"/>
    <x v="623"/>
    <x v="1"/>
  </r>
  <r>
    <x v="235"/>
    <x v="296"/>
    <x v="5"/>
    <x v="5"/>
    <x v="1"/>
    <x v="2"/>
    <x v="2"/>
    <x v="871"/>
    <x v="4"/>
    <x v="474"/>
    <x v="1"/>
  </r>
  <r>
    <x v="236"/>
    <x v="209"/>
    <x v="4"/>
    <x v="7"/>
    <x v="1"/>
    <x v="2"/>
    <x v="5"/>
    <x v="143"/>
    <x v="2"/>
    <x v="819"/>
    <x v="1"/>
  </r>
  <r>
    <x v="237"/>
    <x v="291"/>
    <x v="2"/>
    <x v="7"/>
    <x v="1"/>
    <x v="3"/>
    <x v="6"/>
    <x v="320"/>
    <x v="1"/>
    <x v="820"/>
    <x v="1"/>
  </r>
  <r>
    <x v="238"/>
    <x v="339"/>
    <x v="6"/>
    <x v="3"/>
    <x v="1"/>
    <x v="3"/>
    <x v="5"/>
    <x v="306"/>
    <x v="2"/>
    <x v="705"/>
    <x v="1"/>
  </r>
  <r>
    <x v="239"/>
    <x v="212"/>
    <x v="2"/>
    <x v="0"/>
    <x v="0"/>
    <x v="3"/>
    <x v="4"/>
    <x v="876"/>
    <x v="0"/>
    <x v="94"/>
    <x v="0"/>
  </r>
  <r>
    <x v="240"/>
    <x v="267"/>
    <x v="1"/>
    <x v="6"/>
    <x v="1"/>
    <x v="2"/>
    <x v="6"/>
    <x v="665"/>
    <x v="3"/>
    <x v="827"/>
    <x v="1"/>
  </r>
  <r>
    <x v="241"/>
    <x v="138"/>
    <x v="3"/>
    <x v="1"/>
    <x v="0"/>
    <x v="2"/>
    <x v="6"/>
    <x v="796"/>
    <x v="3"/>
    <x v="670"/>
    <x v="0"/>
  </r>
  <r>
    <x v="242"/>
    <x v="256"/>
    <x v="1"/>
    <x v="5"/>
    <x v="1"/>
    <x v="0"/>
    <x v="0"/>
    <x v="257"/>
    <x v="5"/>
    <x v="696"/>
    <x v="1"/>
  </r>
  <r>
    <x v="243"/>
    <x v="184"/>
    <x v="3"/>
    <x v="4"/>
    <x v="1"/>
    <x v="3"/>
    <x v="6"/>
    <x v="618"/>
    <x v="0"/>
    <x v="366"/>
    <x v="1"/>
  </r>
  <r>
    <x v="244"/>
    <x v="64"/>
    <x v="5"/>
    <x v="1"/>
    <x v="0"/>
    <x v="3"/>
    <x v="3"/>
    <x v="560"/>
    <x v="1"/>
    <x v="866"/>
    <x v="0"/>
  </r>
  <r>
    <x v="245"/>
    <x v="102"/>
    <x v="4"/>
    <x v="7"/>
    <x v="1"/>
    <x v="3"/>
    <x v="1"/>
    <x v="834"/>
    <x v="0"/>
    <x v="718"/>
    <x v="1"/>
  </r>
  <r>
    <x v="246"/>
    <x v="3"/>
    <x v="5"/>
    <x v="4"/>
    <x v="1"/>
    <x v="1"/>
    <x v="1"/>
    <x v="907"/>
    <x v="2"/>
    <x v="102"/>
    <x v="1"/>
  </r>
  <r>
    <x v="247"/>
    <x v="324"/>
    <x v="0"/>
    <x v="4"/>
    <x v="1"/>
    <x v="0"/>
    <x v="1"/>
    <x v="15"/>
    <x v="0"/>
    <x v="415"/>
    <x v="1"/>
  </r>
  <r>
    <x v="248"/>
    <x v="306"/>
    <x v="2"/>
    <x v="4"/>
    <x v="1"/>
    <x v="3"/>
    <x v="3"/>
    <x v="670"/>
    <x v="0"/>
    <x v="877"/>
    <x v="1"/>
  </r>
  <r>
    <x v="249"/>
    <x v="294"/>
    <x v="3"/>
    <x v="3"/>
    <x v="1"/>
    <x v="3"/>
    <x v="5"/>
    <x v="50"/>
    <x v="1"/>
    <x v="40"/>
    <x v="1"/>
  </r>
  <r>
    <x v="250"/>
    <x v="324"/>
    <x v="1"/>
    <x v="7"/>
    <x v="1"/>
    <x v="3"/>
    <x v="0"/>
    <x v="539"/>
    <x v="2"/>
    <x v="953"/>
    <x v="1"/>
  </r>
  <r>
    <x v="251"/>
    <x v="86"/>
    <x v="4"/>
    <x v="4"/>
    <x v="1"/>
    <x v="1"/>
    <x v="6"/>
    <x v="303"/>
    <x v="4"/>
    <x v="681"/>
    <x v="1"/>
  </r>
  <r>
    <x v="252"/>
    <x v="140"/>
    <x v="3"/>
    <x v="5"/>
    <x v="1"/>
    <x v="1"/>
    <x v="3"/>
    <x v="318"/>
    <x v="4"/>
    <x v="643"/>
    <x v="1"/>
  </r>
  <r>
    <x v="253"/>
    <x v="287"/>
    <x v="1"/>
    <x v="2"/>
    <x v="1"/>
    <x v="2"/>
    <x v="1"/>
    <x v="358"/>
    <x v="3"/>
    <x v="259"/>
    <x v="1"/>
  </r>
  <r>
    <x v="254"/>
    <x v="125"/>
    <x v="2"/>
    <x v="4"/>
    <x v="1"/>
    <x v="0"/>
    <x v="4"/>
    <x v="610"/>
    <x v="5"/>
    <x v="242"/>
    <x v="1"/>
  </r>
  <r>
    <x v="255"/>
    <x v="229"/>
    <x v="5"/>
    <x v="3"/>
    <x v="1"/>
    <x v="2"/>
    <x v="2"/>
    <x v="343"/>
    <x v="0"/>
    <x v="933"/>
    <x v="1"/>
  </r>
  <r>
    <x v="256"/>
    <x v="225"/>
    <x v="2"/>
    <x v="1"/>
    <x v="0"/>
    <x v="0"/>
    <x v="6"/>
    <x v="730"/>
    <x v="3"/>
    <x v="286"/>
    <x v="0"/>
  </r>
  <r>
    <x v="257"/>
    <x v="28"/>
    <x v="8"/>
    <x v="7"/>
    <x v="1"/>
    <x v="1"/>
    <x v="3"/>
    <x v="410"/>
    <x v="1"/>
    <x v="773"/>
    <x v="1"/>
  </r>
  <r>
    <x v="258"/>
    <x v="36"/>
    <x v="0"/>
    <x v="0"/>
    <x v="0"/>
    <x v="3"/>
    <x v="3"/>
    <x v="70"/>
    <x v="4"/>
    <x v="396"/>
    <x v="0"/>
  </r>
  <r>
    <x v="259"/>
    <x v="212"/>
    <x v="8"/>
    <x v="3"/>
    <x v="1"/>
    <x v="2"/>
    <x v="0"/>
    <x v="784"/>
    <x v="0"/>
    <x v="129"/>
    <x v="1"/>
  </r>
  <r>
    <x v="260"/>
    <x v="32"/>
    <x v="4"/>
    <x v="4"/>
    <x v="1"/>
    <x v="3"/>
    <x v="0"/>
    <x v="300"/>
    <x v="1"/>
    <x v="12"/>
    <x v="1"/>
  </r>
  <r>
    <x v="261"/>
    <x v="206"/>
    <x v="3"/>
    <x v="7"/>
    <x v="1"/>
    <x v="2"/>
    <x v="3"/>
    <x v="436"/>
    <x v="5"/>
    <x v="554"/>
    <x v="1"/>
  </r>
  <r>
    <x v="262"/>
    <x v="5"/>
    <x v="4"/>
    <x v="2"/>
    <x v="1"/>
    <x v="1"/>
    <x v="1"/>
    <x v="680"/>
    <x v="1"/>
    <x v="972"/>
    <x v="1"/>
  </r>
  <r>
    <x v="263"/>
    <x v="298"/>
    <x v="5"/>
    <x v="4"/>
    <x v="1"/>
    <x v="1"/>
    <x v="2"/>
    <x v="341"/>
    <x v="0"/>
    <x v="371"/>
    <x v="1"/>
  </r>
  <r>
    <x v="264"/>
    <x v="204"/>
    <x v="1"/>
    <x v="3"/>
    <x v="1"/>
    <x v="1"/>
    <x v="6"/>
    <x v="55"/>
    <x v="5"/>
    <x v="363"/>
    <x v="1"/>
  </r>
  <r>
    <x v="265"/>
    <x v="68"/>
    <x v="2"/>
    <x v="6"/>
    <x v="1"/>
    <x v="2"/>
    <x v="0"/>
    <x v="384"/>
    <x v="1"/>
    <x v="347"/>
    <x v="1"/>
  </r>
  <r>
    <x v="266"/>
    <x v="3"/>
    <x v="8"/>
    <x v="5"/>
    <x v="1"/>
    <x v="0"/>
    <x v="6"/>
    <x v="941"/>
    <x v="5"/>
    <x v="538"/>
    <x v="1"/>
  </r>
  <r>
    <x v="267"/>
    <x v="310"/>
    <x v="6"/>
    <x v="0"/>
    <x v="0"/>
    <x v="2"/>
    <x v="1"/>
    <x v="631"/>
    <x v="0"/>
    <x v="454"/>
    <x v="0"/>
  </r>
  <r>
    <x v="268"/>
    <x v="123"/>
    <x v="8"/>
    <x v="1"/>
    <x v="0"/>
    <x v="0"/>
    <x v="6"/>
    <x v="663"/>
    <x v="0"/>
    <x v="870"/>
    <x v="0"/>
  </r>
  <r>
    <x v="269"/>
    <x v="107"/>
    <x v="5"/>
    <x v="3"/>
    <x v="1"/>
    <x v="2"/>
    <x v="4"/>
    <x v="624"/>
    <x v="5"/>
    <x v="519"/>
    <x v="1"/>
  </r>
  <r>
    <x v="270"/>
    <x v="85"/>
    <x v="8"/>
    <x v="7"/>
    <x v="1"/>
    <x v="2"/>
    <x v="0"/>
    <x v="193"/>
    <x v="2"/>
    <x v="520"/>
    <x v="1"/>
  </r>
  <r>
    <x v="271"/>
    <x v="56"/>
    <x v="5"/>
    <x v="0"/>
    <x v="0"/>
    <x v="1"/>
    <x v="1"/>
    <x v="420"/>
    <x v="3"/>
    <x v="128"/>
    <x v="0"/>
  </r>
  <r>
    <x v="272"/>
    <x v="180"/>
    <x v="6"/>
    <x v="0"/>
    <x v="0"/>
    <x v="3"/>
    <x v="1"/>
    <x v="749"/>
    <x v="1"/>
    <x v="980"/>
    <x v="0"/>
  </r>
  <r>
    <x v="273"/>
    <x v="310"/>
    <x v="4"/>
    <x v="0"/>
    <x v="0"/>
    <x v="3"/>
    <x v="2"/>
    <x v="103"/>
    <x v="1"/>
    <x v="244"/>
    <x v="0"/>
  </r>
  <r>
    <x v="274"/>
    <x v="189"/>
    <x v="2"/>
    <x v="4"/>
    <x v="1"/>
    <x v="0"/>
    <x v="2"/>
    <x v="291"/>
    <x v="2"/>
    <x v="70"/>
    <x v="1"/>
  </r>
  <r>
    <x v="275"/>
    <x v="23"/>
    <x v="3"/>
    <x v="5"/>
    <x v="1"/>
    <x v="3"/>
    <x v="4"/>
    <x v="288"/>
    <x v="2"/>
    <x v="663"/>
    <x v="1"/>
  </r>
  <r>
    <x v="276"/>
    <x v="160"/>
    <x v="1"/>
    <x v="4"/>
    <x v="1"/>
    <x v="2"/>
    <x v="1"/>
    <x v="434"/>
    <x v="2"/>
    <x v="608"/>
    <x v="1"/>
  </r>
  <r>
    <x v="277"/>
    <x v="276"/>
    <x v="3"/>
    <x v="7"/>
    <x v="1"/>
    <x v="2"/>
    <x v="5"/>
    <x v="980"/>
    <x v="4"/>
    <x v="421"/>
    <x v="1"/>
  </r>
  <r>
    <x v="278"/>
    <x v="122"/>
    <x v="4"/>
    <x v="4"/>
    <x v="1"/>
    <x v="1"/>
    <x v="1"/>
    <x v="69"/>
    <x v="4"/>
    <x v="433"/>
    <x v="1"/>
  </r>
  <r>
    <x v="279"/>
    <x v="301"/>
    <x v="1"/>
    <x v="6"/>
    <x v="1"/>
    <x v="1"/>
    <x v="2"/>
    <x v="517"/>
    <x v="5"/>
    <x v="784"/>
    <x v="1"/>
  </r>
  <r>
    <x v="280"/>
    <x v="107"/>
    <x v="8"/>
    <x v="5"/>
    <x v="1"/>
    <x v="3"/>
    <x v="5"/>
    <x v="170"/>
    <x v="4"/>
    <x v="187"/>
    <x v="1"/>
  </r>
  <r>
    <x v="281"/>
    <x v="300"/>
    <x v="6"/>
    <x v="5"/>
    <x v="1"/>
    <x v="0"/>
    <x v="0"/>
    <x v="972"/>
    <x v="0"/>
    <x v="814"/>
    <x v="1"/>
  </r>
  <r>
    <x v="282"/>
    <x v="255"/>
    <x v="6"/>
    <x v="7"/>
    <x v="1"/>
    <x v="3"/>
    <x v="0"/>
    <x v="113"/>
    <x v="5"/>
    <x v="657"/>
    <x v="1"/>
  </r>
  <r>
    <x v="283"/>
    <x v="196"/>
    <x v="0"/>
    <x v="1"/>
    <x v="0"/>
    <x v="3"/>
    <x v="6"/>
    <x v="409"/>
    <x v="1"/>
    <x v="427"/>
    <x v="0"/>
  </r>
  <r>
    <x v="284"/>
    <x v="208"/>
    <x v="4"/>
    <x v="6"/>
    <x v="1"/>
    <x v="3"/>
    <x v="3"/>
    <x v="735"/>
    <x v="3"/>
    <x v="470"/>
    <x v="1"/>
  </r>
  <r>
    <x v="285"/>
    <x v="19"/>
    <x v="4"/>
    <x v="3"/>
    <x v="1"/>
    <x v="3"/>
    <x v="2"/>
    <x v="700"/>
    <x v="0"/>
    <x v="248"/>
    <x v="1"/>
  </r>
  <r>
    <x v="286"/>
    <x v="103"/>
    <x v="2"/>
    <x v="4"/>
    <x v="1"/>
    <x v="2"/>
    <x v="3"/>
    <x v="425"/>
    <x v="1"/>
    <x v="748"/>
    <x v="1"/>
  </r>
  <r>
    <x v="287"/>
    <x v="128"/>
    <x v="3"/>
    <x v="2"/>
    <x v="1"/>
    <x v="0"/>
    <x v="5"/>
    <x v="355"/>
    <x v="1"/>
    <x v="530"/>
    <x v="1"/>
  </r>
  <r>
    <x v="288"/>
    <x v="43"/>
    <x v="4"/>
    <x v="4"/>
    <x v="1"/>
    <x v="2"/>
    <x v="2"/>
    <x v="403"/>
    <x v="5"/>
    <x v="314"/>
    <x v="1"/>
  </r>
  <r>
    <x v="289"/>
    <x v="0"/>
    <x v="4"/>
    <x v="0"/>
    <x v="0"/>
    <x v="0"/>
    <x v="4"/>
    <x v="270"/>
    <x v="2"/>
    <x v="609"/>
    <x v="0"/>
  </r>
  <r>
    <x v="290"/>
    <x v="82"/>
    <x v="8"/>
    <x v="4"/>
    <x v="1"/>
    <x v="1"/>
    <x v="1"/>
    <x v="202"/>
    <x v="2"/>
    <x v="994"/>
    <x v="1"/>
  </r>
  <r>
    <x v="291"/>
    <x v="130"/>
    <x v="8"/>
    <x v="3"/>
    <x v="1"/>
    <x v="3"/>
    <x v="4"/>
    <x v="480"/>
    <x v="0"/>
    <x v="448"/>
    <x v="1"/>
  </r>
  <r>
    <x v="292"/>
    <x v="296"/>
    <x v="1"/>
    <x v="4"/>
    <x v="1"/>
    <x v="2"/>
    <x v="5"/>
    <x v="275"/>
    <x v="2"/>
    <x v="910"/>
    <x v="1"/>
  </r>
  <r>
    <x v="293"/>
    <x v="34"/>
    <x v="5"/>
    <x v="6"/>
    <x v="1"/>
    <x v="0"/>
    <x v="2"/>
    <x v="302"/>
    <x v="1"/>
    <x v="348"/>
    <x v="1"/>
  </r>
  <r>
    <x v="294"/>
    <x v="270"/>
    <x v="5"/>
    <x v="6"/>
    <x v="1"/>
    <x v="1"/>
    <x v="5"/>
    <x v="644"/>
    <x v="2"/>
    <x v="52"/>
    <x v="1"/>
  </r>
  <r>
    <x v="295"/>
    <x v="127"/>
    <x v="0"/>
    <x v="5"/>
    <x v="1"/>
    <x v="1"/>
    <x v="1"/>
    <x v="969"/>
    <x v="4"/>
    <x v="200"/>
    <x v="1"/>
  </r>
  <r>
    <x v="296"/>
    <x v="330"/>
    <x v="5"/>
    <x v="7"/>
    <x v="1"/>
    <x v="3"/>
    <x v="0"/>
    <x v="594"/>
    <x v="2"/>
    <x v="426"/>
    <x v="1"/>
  </r>
  <r>
    <x v="297"/>
    <x v="308"/>
    <x v="2"/>
    <x v="1"/>
    <x v="0"/>
    <x v="0"/>
    <x v="0"/>
    <x v="84"/>
    <x v="1"/>
    <x v="213"/>
    <x v="0"/>
  </r>
  <r>
    <x v="298"/>
    <x v="240"/>
    <x v="0"/>
    <x v="2"/>
    <x v="1"/>
    <x v="2"/>
    <x v="5"/>
    <x v="80"/>
    <x v="5"/>
    <x v="1"/>
    <x v="1"/>
  </r>
  <r>
    <x v="299"/>
    <x v="149"/>
    <x v="1"/>
    <x v="0"/>
    <x v="0"/>
    <x v="3"/>
    <x v="3"/>
    <x v="949"/>
    <x v="0"/>
    <x v="905"/>
    <x v="0"/>
  </r>
  <r>
    <x v="300"/>
    <x v="164"/>
    <x v="8"/>
    <x v="4"/>
    <x v="1"/>
    <x v="2"/>
    <x v="2"/>
    <x v="310"/>
    <x v="3"/>
    <x v="829"/>
    <x v="1"/>
  </r>
  <r>
    <x v="301"/>
    <x v="9"/>
    <x v="5"/>
    <x v="4"/>
    <x v="1"/>
    <x v="1"/>
    <x v="2"/>
    <x v="96"/>
    <x v="2"/>
    <x v="738"/>
    <x v="1"/>
  </r>
  <r>
    <x v="302"/>
    <x v="242"/>
    <x v="7"/>
    <x v="3"/>
    <x v="1"/>
    <x v="2"/>
    <x v="0"/>
    <x v="591"/>
    <x v="1"/>
    <x v="155"/>
    <x v="1"/>
  </r>
  <r>
    <x v="303"/>
    <x v="126"/>
    <x v="8"/>
    <x v="7"/>
    <x v="1"/>
    <x v="2"/>
    <x v="6"/>
    <x v="614"/>
    <x v="3"/>
    <x v="108"/>
    <x v="1"/>
  </r>
  <r>
    <x v="304"/>
    <x v="159"/>
    <x v="6"/>
    <x v="6"/>
    <x v="1"/>
    <x v="3"/>
    <x v="4"/>
    <x v="634"/>
    <x v="3"/>
    <x v="63"/>
    <x v="1"/>
  </r>
  <r>
    <x v="305"/>
    <x v="12"/>
    <x v="2"/>
    <x v="2"/>
    <x v="1"/>
    <x v="2"/>
    <x v="6"/>
    <x v="274"/>
    <x v="4"/>
    <x v="717"/>
    <x v="1"/>
  </r>
  <r>
    <x v="306"/>
    <x v="155"/>
    <x v="8"/>
    <x v="5"/>
    <x v="1"/>
    <x v="3"/>
    <x v="1"/>
    <x v="18"/>
    <x v="3"/>
    <x v="917"/>
    <x v="1"/>
  </r>
  <r>
    <x v="307"/>
    <x v="119"/>
    <x v="2"/>
    <x v="6"/>
    <x v="1"/>
    <x v="1"/>
    <x v="4"/>
    <x v="963"/>
    <x v="5"/>
    <x v="443"/>
    <x v="1"/>
  </r>
  <r>
    <x v="308"/>
    <x v="76"/>
    <x v="2"/>
    <x v="0"/>
    <x v="0"/>
    <x v="3"/>
    <x v="4"/>
    <x v="258"/>
    <x v="1"/>
    <x v="104"/>
    <x v="0"/>
  </r>
  <r>
    <x v="309"/>
    <x v="297"/>
    <x v="2"/>
    <x v="7"/>
    <x v="1"/>
    <x v="3"/>
    <x v="5"/>
    <x v="672"/>
    <x v="1"/>
    <x v="528"/>
    <x v="1"/>
  </r>
  <r>
    <x v="310"/>
    <x v="295"/>
    <x v="1"/>
    <x v="0"/>
    <x v="0"/>
    <x v="0"/>
    <x v="0"/>
    <x v="705"/>
    <x v="2"/>
    <x v="353"/>
    <x v="0"/>
  </r>
  <r>
    <x v="311"/>
    <x v="91"/>
    <x v="2"/>
    <x v="1"/>
    <x v="0"/>
    <x v="2"/>
    <x v="6"/>
    <x v="601"/>
    <x v="2"/>
    <x v="376"/>
    <x v="0"/>
  </r>
  <r>
    <x v="312"/>
    <x v="304"/>
    <x v="2"/>
    <x v="5"/>
    <x v="1"/>
    <x v="1"/>
    <x v="6"/>
    <x v="324"/>
    <x v="2"/>
    <x v="635"/>
    <x v="1"/>
  </r>
  <r>
    <x v="313"/>
    <x v="253"/>
    <x v="6"/>
    <x v="1"/>
    <x v="0"/>
    <x v="3"/>
    <x v="0"/>
    <x v="281"/>
    <x v="5"/>
    <x v="712"/>
    <x v="0"/>
  </r>
  <r>
    <x v="314"/>
    <x v="246"/>
    <x v="3"/>
    <x v="3"/>
    <x v="1"/>
    <x v="1"/>
    <x v="6"/>
    <x v="590"/>
    <x v="3"/>
    <x v="101"/>
    <x v="1"/>
  </r>
  <r>
    <x v="315"/>
    <x v="34"/>
    <x v="0"/>
    <x v="0"/>
    <x v="0"/>
    <x v="0"/>
    <x v="0"/>
    <x v="872"/>
    <x v="3"/>
    <x v="27"/>
    <x v="0"/>
  </r>
  <r>
    <x v="316"/>
    <x v="85"/>
    <x v="4"/>
    <x v="3"/>
    <x v="1"/>
    <x v="2"/>
    <x v="5"/>
    <x v="944"/>
    <x v="4"/>
    <x v="992"/>
    <x v="1"/>
  </r>
  <r>
    <x v="317"/>
    <x v="86"/>
    <x v="6"/>
    <x v="4"/>
    <x v="1"/>
    <x v="3"/>
    <x v="3"/>
    <x v="110"/>
    <x v="5"/>
    <x v="224"/>
    <x v="1"/>
  </r>
  <r>
    <x v="318"/>
    <x v="281"/>
    <x v="0"/>
    <x v="1"/>
    <x v="0"/>
    <x v="2"/>
    <x v="4"/>
    <x v="139"/>
    <x v="2"/>
    <x v="50"/>
    <x v="0"/>
  </r>
  <r>
    <x v="319"/>
    <x v="63"/>
    <x v="2"/>
    <x v="7"/>
    <x v="1"/>
    <x v="0"/>
    <x v="5"/>
    <x v="942"/>
    <x v="0"/>
    <x v="179"/>
    <x v="1"/>
  </r>
  <r>
    <x v="320"/>
    <x v="294"/>
    <x v="3"/>
    <x v="0"/>
    <x v="0"/>
    <x v="0"/>
    <x v="2"/>
    <x v="733"/>
    <x v="4"/>
    <x v="31"/>
    <x v="0"/>
  </r>
  <r>
    <x v="321"/>
    <x v="218"/>
    <x v="8"/>
    <x v="2"/>
    <x v="1"/>
    <x v="1"/>
    <x v="1"/>
    <x v="887"/>
    <x v="0"/>
    <x v="394"/>
    <x v="1"/>
  </r>
  <r>
    <x v="322"/>
    <x v="309"/>
    <x v="3"/>
    <x v="5"/>
    <x v="1"/>
    <x v="3"/>
    <x v="3"/>
    <x v="197"/>
    <x v="3"/>
    <x v="797"/>
    <x v="1"/>
  </r>
  <r>
    <x v="323"/>
    <x v="125"/>
    <x v="6"/>
    <x v="6"/>
    <x v="1"/>
    <x v="1"/>
    <x v="2"/>
    <x v="578"/>
    <x v="4"/>
    <x v="338"/>
    <x v="1"/>
  </r>
  <r>
    <x v="324"/>
    <x v="69"/>
    <x v="2"/>
    <x v="7"/>
    <x v="1"/>
    <x v="0"/>
    <x v="4"/>
    <x v="696"/>
    <x v="4"/>
    <x v="456"/>
    <x v="1"/>
  </r>
  <r>
    <x v="325"/>
    <x v="31"/>
    <x v="3"/>
    <x v="7"/>
    <x v="1"/>
    <x v="2"/>
    <x v="6"/>
    <x v="678"/>
    <x v="1"/>
    <x v="675"/>
    <x v="1"/>
  </r>
  <r>
    <x v="326"/>
    <x v="0"/>
    <x v="5"/>
    <x v="3"/>
    <x v="1"/>
    <x v="1"/>
    <x v="0"/>
    <x v="412"/>
    <x v="3"/>
    <x v="521"/>
    <x v="1"/>
  </r>
  <r>
    <x v="327"/>
    <x v="273"/>
    <x v="3"/>
    <x v="1"/>
    <x v="0"/>
    <x v="1"/>
    <x v="4"/>
    <x v="19"/>
    <x v="3"/>
    <x v="849"/>
    <x v="0"/>
  </r>
  <r>
    <x v="328"/>
    <x v="296"/>
    <x v="2"/>
    <x v="0"/>
    <x v="0"/>
    <x v="2"/>
    <x v="5"/>
    <x v="572"/>
    <x v="5"/>
    <x v="855"/>
    <x v="0"/>
  </r>
  <r>
    <x v="329"/>
    <x v="54"/>
    <x v="1"/>
    <x v="0"/>
    <x v="0"/>
    <x v="1"/>
    <x v="1"/>
    <x v="260"/>
    <x v="4"/>
    <x v="10"/>
    <x v="0"/>
  </r>
  <r>
    <x v="330"/>
    <x v="296"/>
    <x v="5"/>
    <x v="4"/>
    <x v="1"/>
    <x v="2"/>
    <x v="5"/>
    <x v="456"/>
    <x v="3"/>
    <x v="775"/>
    <x v="1"/>
  </r>
  <r>
    <x v="331"/>
    <x v="323"/>
    <x v="3"/>
    <x v="4"/>
    <x v="1"/>
    <x v="3"/>
    <x v="3"/>
    <x v="955"/>
    <x v="4"/>
    <x v="473"/>
    <x v="1"/>
  </r>
  <r>
    <x v="332"/>
    <x v="303"/>
    <x v="4"/>
    <x v="5"/>
    <x v="1"/>
    <x v="2"/>
    <x v="3"/>
    <x v="406"/>
    <x v="5"/>
    <x v="987"/>
    <x v="1"/>
  </r>
  <r>
    <x v="333"/>
    <x v="248"/>
    <x v="4"/>
    <x v="3"/>
    <x v="1"/>
    <x v="3"/>
    <x v="1"/>
    <x v="846"/>
    <x v="5"/>
    <x v="495"/>
    <x v="1"/>
  </r>
  <r>
    <x v="334"/>
    <x v="335"/>
    <x v="3"/>
    <x v="7"/>
    <x v="1"/>
    <x v="2"/>
    <x v="2"/>
    <x v="181"/>
    <x v="1"/>
    <x v="985"/>
    <x v="1"/>
  </r>
  <r>
    <x v="335"/>
    <x v="212"/>
    <x v="1"/>
    <x v="0"/>
    <x v="0"/>
    <x v="0"/>
    <x v="2"/>
    <x v="664"/>
    <x v="4"/>
    <x v="749"/>
    <x v="0"/>
  </r>
  <r>
    <x v="336"/>
    <x v="251"/>
    <x v="8"/>
    <x v="2"/>
    <x v="1"/>
    <x v="0"/>
    <x v="3"/>
    <x v="977"/>
    <x v="3"/>
    <x v="241"/>
    <x v="1"/>
  </r>
  <r>
    <x v="337"/>
    <x v="292"/>
    <x v="2"/>
    <x v="3"/>
    <x v="1"/>
    <x v="3"/>
    <x v="3"/>
    <x v="105"/>
    <x v="3"/>
    <x v="552"/>
    <x v="1"/>
  </r>
  <r>
    <x v="338"/>
    <x v="264"/>
    <x v="4"/>
    <x v="5"/>
    <x v="1"/>
    <x v="3"/>
    <x v="6"/>
    <x v="7"/>
    <x v="4"/>
    <x v="990"/>
    <x v="1"/>
  </r>
  <r>
    <x v="339"/>
    <x v="268"/>
    <x v="8"/>
    <x v="5"/>
    <x v="1"/>
    <x v="0"/>
    <x v="0"/>
    <x v="439"/>
    <x v="4"/>
    <x v="841"/>
    <x v="1"/>
  </r>
  <r>
    <x v="340"/>
    <x v="197"/>
    <x v="3"/>
    <x v="3"/>
    <x v="1"/>
    <x v="3"/>
    <x v="6"/>
    <x v="98"/>
    <x v="4"/>
    <x v="91"/>
    <x v="1"/>
  </r>
  <r>
    <x v="341"/>
    <x v="153"/>
    <x v="6"/>
    <x v="5"/>
    <x v="1"/>
    <x v="2"/>
    <x v="6"/>
    <x v="745"/>
    <x v="2"/>
    <x v="702"/>
    <x v="1"/>
  </r>
  <r>
    <x v="342"/>
    <x v="4"/>
    <x v="8"/>
    <x v="3"/>
    <x v="1"/>
    <x v="2"/>
    <x v="2"/>
    <x v="915"/>
    <x v="3"/>
    <x v="349"/>
    <x v="1"/>
  </r>
  <r>
    <x v="343"/>
    <x v="314"/>
    <x v="5"/>
    <x v="6"/>
    <x v="1"/>
    <x v="0"/>
    <x v="1"/>
    <x v="440"/>
    <x v="5"/>
    <x v="7"/>
    <x v="1"/>
  </r>
  <r>
    <x v="344"/>
    <x v="71"/>
    <x v="0"/>
    <x v="3"/>
    <x v="1"/>
    <x v="1"/>
    <x v="2"/>
    <x v="263"/>
    <x v="3"/>
    <x v="409"/>
    <x v="1"/>
  </r>
  <r>
    <x v="345"/>
    <x v="56"/>
    <x v="4"/>
    <x v="1"/>
    <x v="0"/>
    <x v="2"/>
    <x v="0"/>
    <x v="441"/>
    <x v="2"/>
    <x v="226"/>
    <x v="0"/>
  </r>
  <r>
    <x v="346"/>
    <x v="121"/>
    <x v="3"/>
    <x v="3"/>
    <x v="1"/>
    <x v="3"/>
    <x v="5"/>
    <x v="722"/>
    <x v="4"/>
    <x v="812"/>
    <x v="1"/>
  </r>
  <r>
    <x v="347"/>
    <x v="81"/>
    <x v="6"/>
    <x v="5"/>
    <x v="1"/>
    <x v="1"/>
    <x v="3"/>
    <x v="10"/>
    <x v="1"/>
    <x v="334"/>
    <x v="1"/>
  </r>
  <r>
    <x v="348"/>
    <x v="219"/>
    <x v="2"/>
    <x v="0"/>
    <x v="0"/>
    <x v="1"/>
    <x v="3"/>
    <x v="579"/>
    <x v="4"/>
    <x v="818"/>
    <x v="0"/>
  </r>
  <r>
    <x v="349"/>
    <x v="38"/>
    <x v="6"/>
    <x v="1"/>
    <x v="0"/>
    <x v="2"/>
    <x v="0"/>
    <x v="604"/>
    <x v="4"/>
    <x v="2"/>
    <x v="0"/>
  </r>
  <r>
    <x v="350"/>
    <x v="81"/>
    <x v="1"/>
    <x v="5"/>
    <x v="1"/>
    <x v="2"/>
    <x v="6"/>
    <x v="629"/>
    <x v="2"/>
    <x v="298"/>
    <x v="1"/>
  </r>
  <r>
    <x v="351"/>
    <x v="273"/>
    <x v="5"/>
    <x v="4"/>
    <x v="1"/>
    <x v="1"/>
    <x v="1"/>
    <x v="246"/>
    <x v="3"/>
    <x v="234"/>
    <x v="1"/>
  </r>
  <r>
    <x v="352"/>
    <x v="303"/>
    <x v="3"/>
    <x v="4"/>
    <x v="1"/>
    <x v="1"/>
    <x v="3"/>
    <x v="711"/>
    <x v="4"/>
    <x v="225"/>
    <x v="1"/>
  </r>
  <r>
    <x v="353"/>
    <x v="272"/>
    <x v="2"/>
    <x v="0"/>
    <x v="0"/>
    <x v="0"/>
    <x v="4"/>
    <x v="95"/>
    <x v="3"/>
    <x v="64"/>
    <x v="0"/>
  </r>
  <r>
    <x v="354"/>
    <x v="94"/>
    <x v="1"/>
    <x v="0"/>
    <x v="0"/>
    <x v="3"/>
    <x v="6"/>
    <x v="194"/>
    <x v="0"/>
    <x v="177"/>
    <x v="0"/>
  </r>
  <r>
    <x v="355"/>
    <x v="13"/>
    <x v="1"/>
    <x v="1"/>
    <x v="0"/>
    <x v="0"/>
    <x v="3"/>
    <x v="881"/>
    <x v="5"/>
    <x v="571"/>
    <x v="0"/>
  </r>
  <r>
    <x v="356"/>
    <x v="266"/>
    <x v="3"/>
    <x v="6"/>
    <x v="1"/>
    <x v="2"/>
    <x v="4"/>
    <x v="737"/>
    <x v="3"/>
    <x v="280"/>
    <x v="1"/>
  </r>
  <r>
    <x v="357"/>
    <x v="165"/>
    <x v="5"/>
    <x v="0"/>
    <x v="0"/>
    <x v="0"/>
    <x v="0"/>
    <x v="16"/>
    <x v="1"/>
    <x v="424"/>
    <x v="0"/>
  </r>
  <r>
    <x v="358"/>
    <x v="114"/>
    <x v="8"/>
    <x v="4"/>
    <x v="1"/>
    <x v="0"/>
    <x v="0"/>
    <x v="252"/>
    <x v="5"/>
    <x v="378"/>
    <x v="1"/>
  </r>
  <r>
    <x v="359"/>
    <x v="327"/>
    <x v="8"/>
    <x v="3"/>
    <x v="1"/>
    <x v="0"/>
    <x v="6"/>
    <x v="212"/>
    <x v="1"/>
    <x v="864"/>
    <x v="1"/>
  </r>
  <r>
    <x v="360"/>
    <x v="21"/>
    <x v="1"/>
    <x v="5"/>
    <x v="1"/>
    <x v="0"/>
    <x v="3"/>
    <x v="279"/>
    <x v="4"/>
    <x v="892"/>
    <x v="1"/>
  </r>
  <r>
    <x v="361"/>
    <x v="57"/>
    <x v="8"/>
    <x v="4"/>
    <x v="1"/>
    <x v="3"/>
    <x v="2"/>
    <x v="251"/>
    <x v="5"/>
    <x v="508"/>
    <x v="1"/>
  </r>
  <r>
    <x v="362"/>
    <x v="131"/>
    <x v="0"/>
    <x v="4"/>
    <x v="1"/>
    <x v="3"/>
    <x v="4"/>
    <x v="60"/>
    <x v="3"/>
    <x v="323"/>
    <x v="1"/>
  </r>
  <r>
    <x v="363"/>
    <x v="141"/>
    <x v="1"/>
    <x v="6"/>
    <x v="1"/>
    <x v="1"/>
    <x v="1"/>
    <x v="464"/>
    <x v="5"/>
    <x v="97"/>
    <x v="1"/>
  </r>
  <r>
    <x v="364"/>
    <x v="133"/>
    <x v="1"/>
    <x v="1"/>
    <x v="0"/>
    <x v="2"/>
    <x v="3"/>
    <x v="731"/>
    <x v="4"/>
    <x v="944"/>
    <x v="0"/>
  </r>
  <r>
    <x v="365"/>
    <x v="208"/>
    <x v="2"/>
    <x v="1"/>
    <x v="0"/>
    <x v="0"/>
    <x v="1"/>
    <x v="596"/>
    <x v="2"/>
    <x v="59"/>
    <x v="0"/>
  </r>
  <r>
    <x v="366"/>
    <x v="285"/>
    <x v="8"/>
    <x v="7"/>
    <x v="1"/>
    <x v="1"/>
    <x v="3"/>
    <x v="667"/>
    <x v="1"/>
    <x v="282"/>
    <x v="1"/>
  </r>
  <r>
    <x v="367"/>
    <x v="94"/>
    <x v="5"/>
    <x v="6"/>
    <x v="1"/>
    <x v="1"/>
    <x v="2"/>
    <x v="87"/>
    <x v="4"/>
    <x v="285"/>
    <x v="1"/>
  </r>
  <r>
    <x v="368"/>
    <x v="94"/>
    <x v="1"/>
    <x v="3"/>
    <x v="1"/>
    <x v="1"/>
    <x v="2"/>
    <x v="952"/>
    <x v="2"/>
    <x v="312"/>
    <x v="1"/>
  </r>
  <r>
    <x v="369"/>
    <x v="35"/>
    <x v="6"/>
    <x v="1"/>
    <x v="0"/>
    <x v="3"/>
    <x v="6"/>
    <x v="843"/>
    <x v="5"/>
    <x v="149"/>
    <x v="0"/>
  </r>
  <r>
    <x v="370"/>
    <x v="184"/>
    <x v="5"/>
    <x v="5"/>
    <x v="1"/>
    <x v="0"/>
    <x v="6"/>
    <x v="809"/>
    <x v="5"/>
    <x v="781"/>
    <x v="1"/>
  </r>
  <r>
    <x v="371"/>
    <x v="123"/>
    <x v="0"/>
    <x v="0"/>
    <x v="0"/>
    <x v="0"/>
    <x v="2"/>
    <x v="825"/>
    <x v="4"/>
    <x v="110"/>
    <x v="0"/>
  </r>
  <r>
    <x v="372"/>
    <x v="61"/>
    <x v="2"/>
    <x v="6"/>
    <x v="1"/>
    <x v="2"/>
    <x v="5"/>
    <x v="930"/>
    <x v="3"/>
    <x v="645"/>
    <x v="1"/>
  </r>
  <r>
    <x v="373"/>
    <x v="165"/>
    <x v="3"/>
    <x v="0"/>
    <x v="0"/>
    <x v="0"/>
    <x v="2"/>
    <x v="534"/>
    <x v="5"/>
    <x v="113"/>
    <x v="0"/>
  </r>
  <r>
    <x v="374"/>
    <x v="38"/>
    <x v="5"/>
    <x v="4"/>
    <x v="1"/>
    <x v="0"/>
    <x v="0"/>
    <x v="195"/>
    <x v="3"/>
    <x v="68"/>
    <x v="1"/>
  </r>
  <r>
    <x v="375"/>
    <x v="14"/>
    <x v="1"/>
    <x v="5"/>
    <x v="1"/>
    <x v="1"/>
    <x v="0"/>
    <x v="607"/>
    <x v="3"/>
    <x v="897"/>
    <x v="1"/>
  </r>
  <r>
    <x v="376"/>
    <x v="101"/>
    <x v="0"/>
    <x v="5"/>
    <x v="1"/>
    <x v="2"/>
    <x v="5"/>
    <x v="742"/>
    <x v="3"/>
    <x v="180"/>
    <x v="1"/>
  </r>
  <r>
    <x v="377"/>
    <x v="145"/>
    <x v="4"/>
    <x v="4"/>
    <x v="1"/>
    <x v="0"/>
    <x v="4"/>
    <x v="736"/>
    <x v="0"/>
    <x v="815"/>
    <x v="1"/>
  </r>
  <r>
    <x v="378"/>
    <x v="267"/>
    <x v="0"/>
    <x v="6"/>
    <x v="1"/>
    <x v="3"/>
    <x v="1"/>
    <x v="519"/>
    <x v="2"/>
    <x v="556"/>
    <x v="1"/>
  </r>
  <r>
    <x v="379"/>
    <x v="213"/>
    <x v="0"/>
    <x v="4"/>
    <x v="1"/>
    <x v="0"/>
    <x v="3"/>
    <x v="71"/>
    <x v="2"/>
    <x v="72"/>
    <x v="1"/>
  </r>
  <r>
    <x v="380"/>
    <x v="145"/>
    <x v="2"/>
    <x v="0"/>
    <x v="0"/>
    <x v="1"/>
    <x v="3"/>
    <x v="377"/>
    <x v="5"/>
    <x v="946"/>
    <x v="0"/>
  </r>
  <r>
    <x v="381"/>
    <x v="34"/>
    <x v="3"/>
    <x v="7"/>
    <x v="1"/>
    <x v="3"/>
    <x v="5"/>
    <x v="920"/>
    <x v="5"/>
    <x v="238"/>
    <x v="1"/>
  </r>
  <r>
    <x v="382"/>
    <x v="88"/>
    <x v="4"/>
    <x v="5"/>
    <x v="1"/>
    <x v="1"/>
    <x v="0"/>
    <x v="576"/>
    <x v="3"/>
    <x v="847"/>
    <x v="1"/>
  </r>
  <r>
    <x v="383"/>
    <x v="267"/>
    <x v="8"/>
    <x v="2"/>
    <x v="1"/>
    <x v="0"/>
    <x v="6"/>
    <x v="530"/>
    <x v="0"/>
    <x v="158"/>
    <x v="1"/>
  </r>
  <r>
    <x v="384"/>
    <x v="235"/>
    <x v="8"/>
    <x v="2"/>
    <x v="1"/>
    <x v="3"/>
    <x v="3"/>
    <x v="277"/>
    <x v="3"/>
    <x v="838"/>
    <x v="1"/>
  </r>
  <r>
    <x v="385"/>
    <x v="182"/>
    <x v="5"/>
    <x v="0"/>
    <x v="0"/>
    <x v="2"/>
    <x v="0"/>
    <x v="373"/>
    <x v="0"/>
    <x v="14"/>
    <x v="0"/>
  </r>
  <r>
    <x v="386"/>
    <x v="78"/>
    <x v="0"/>
    <x v="3"/>
    <x v="1"/>
    <x v="2"/>
    <x v="4"/>
    <x v="898"/>
    <x v="3"/>
    <x v="527"/>
    <x v="1"/>
  </r>
  <r>
    <x v="387"/>
    <x v="298"/>
    <x v="6"/>
    <x v="1"/>
    <x v="0"/>
    <x v="3"/>
    <x v="1"/>
    <x v="656"/>
    <x v="1"/>
    <x v="768"/>
    <x v="0"/>
  </r>
  <r>
    <x v="388"/>
    <x v="9"/>
    <x v="2"/>
    <x v="4"/>
    <x v="1"/>
    <x v="3"/>
    <x v="4"/>
    <x v="786"/>
    <x v="1"/>
    <x v="925"/>
    <x v="1"/>
  </r>
  <r>
    <x v="389"/>
    <x v="4"/>
    <x v="6"/>
    <x v="4"/>
    <x v="1"/>
    <x v="1"/>
    <x v="5"/>
    <x v="459"/>
    <x v="4"/>
    <x v="895"/>
    <x v="1"/>
  </r>
  <r>
    <x v="390"/>
    <x v="112"/>
    <x v="2"/>
    <x v="3"/>
    <x v="1"/>
    <x v="3"/>
    <x v="2"/>
    <x v="621"/>
    <x v="3"/>
    <x v="813"/>
    <x v="1"/>
  </r>
  <r>
    <x v="391"/>
    <x v="305"/>
    <x v="8"/>
    <x v="3"/>
    <x v="1"/>
    <x v="1"/>
    <x v="2"/>
    <x v="253"/>
    <x v="5"/>
    <x v="880"/>
    <x v="1"/>
  </r>
  <r>
    <x v="392"/>
    <x v="327"/>
    <x v="5"/>
    <x v="0"/>
    <x v="0"/>
    <x v="0"/>
    <x v="2"/>
    <x v="703"/>
    <x v="2"/>
    <x v="194"/>
    <x v="0"/>
  </r>
  <r>
    <x v="393"/>
    <x v="107"/>
    <x v="5"/>
    <x v="0"/>
    <x v="0"/>
    <x v="1"/>
    <x v="4"/>
    <x v="429"/>
    <x v="4"/>
    <x v="272"/>
    <x v="0"/>
  </r>
  <r>
    <x v="394"/>
    <x v="271"/>
    <x v="5"/>
    <x v="3"/>
    <x v="1"/>
    <x v="3"/>
    <x v="3"/>
    <x v="449"/>
    <x v="5"/>
    <x v="278"/>
    <x v="1"/>
  </r>
  <r>
    <x v="395"/>
    <x v="147"/>
    <x v="4"/>
    <x v="5"/>
    <x v="1"/>
    <x v="3"/>
    <x v="1"/>
    <x v="636"/>
    <x v="1"/>
    <x v="380"/>
    <x v="1"/>
  </r>
  <r>
    <x v="396"/>
    <x v="279"/>
    <x v="3"/>
    <x v="0"/>
    <x v="0"/>
    <x v="0"/>
    <x v="2"/>
    <x v="934"/>
    <x v="3"/>
    <x v="397"/>
    <x v="0"/>
  </r>
  <r>
    <x v="397"/>
    <x v="211"/>
    <x v="4"/>
    <x v="7"/>
    <x v="1"/>
    <x v="3"/>
    <x v="5"/>
    <x v="62"/>
    <x v="4"/>
    <x v="555"/>
    <x v="1"/>
  </r>
  <r>
    <x v="398"/>
    <x v="339"/>
    <x v="1"/>
    <x v="0"/>
    <x v="0"/>
    <x v="3"/>
    <x v="5"/>
    <x v="826"/>
    <x v="3"/>
    <x v="145"/>
    <x v="0"/>
  </r>
  <r>
    <x v="399"/>
    <x v="200"/>
    <x v="1"/>
    <x v="4"/>
    <x v="1"/>
    <x v="2"/>
    <x v="2"/>
    <x v="308"/>
    <x v="1"/>
    <x v="688"/>
    <x v="1"/>
  </r>
  <r>
    <x v="400"/>
    <x v="170"/>
    <x v="6"/>
    <x v="0"/>
    <x v="0"/>
    <x v="2"/>
    <x v="7"/>
    <x v="451"/>
    <x v="4"/>
    <x v="154"/>
    <x v="0"/>
  </r>
  <r>
    <x v="401"/>
    <x v="14"/>
    <x v="3"/>
    <x v="5"/>
    <x v="1"/>
    <x v="0"/>
    <x v="1"/>
    <x v="24"/>
    <x v="6"/>
    <x v="301"/>
    <x v="1"/>
  </r>
  <r>
    <x v="402"/>
    <x v="145"/>
    <x v="8"/>
    <x v="3"/>
    <x v="1"/>
    <x v="1"/>
    <x v="2"/>
    <x v="312"/>
    <x v="0"/>
    <x v="0"/>
    <x v="1"/>
  </r>
  <r>
    <x v="403"/>
    <x v="124"/>
    <x v="3"/>
    <x v="4"/>
    <x v="1"/>
    <x v="2"/>
    <x v="1"/>
    <x v="501"/>
    <x v="1"/>
    <x v="788"/>
    <x v="1"/>
  </r>
  <r>
    <x v="404"/>
    <x v="242"/>
    <x v="2"/>
    <x v="0"/>
    <x v="0"/>
    <x v="1"/>
    <x v="5"/>
    <x v="54"/>
    <x v="3"/>
    <x v="732"/>
    <x v="0"/>
  </r>
  <r>
    <x v="405"/>
    <x v="145"/>
    <x v="1"/>
    <x v="5"/>
    <x v="1"/>
    <x v="3"/>
    <x v="2"/>
    <x v="491"/>
    <x v="2"/>
    <x v="651"/>
    <x v="1"/>
  </r>
  <r>
    <x v="406"/>
    <x v="43"/>
    <x v="0"/>
    <x v="7"/>
    <x v="1"/>
    <x v="2"/>
    <x v="4"/>
    <x v="924"/>
    <x v="1"/>
    <x v="143"/>
    <x v="1"/>
  </r>
  <r>
    <x v="407"/>
    <x v="300"/>
    <x v="0"/>
    <x v="0"/>
    <x v="0"/>
    <x v="0"/>
    <x v="6"/>
    <x v="109"/>
    <x v="5"/>
    <x v="561"/>
    <x v="0"/>
  </r>
  <r>
    <x v="408"/>
    <x v="307"/>
    <x v="8"/>
    <x v="5"/>
    <x v="1"/>
    <x v="0"/>
    <x v="4"/>
    <x v="768"/>
    <x v="2"/>
    <x v="82"/>
    <x v="1"/>
  </r>
  <r>
    <x v="409"/>
    <x v="160"/>
    <x v="2"/>
    <x v="7"/>
    <x v="1"/>
    <x v="0"/>
    <x v="5"/>
    <x v="414"/>
    <x v="0"/>
    <x v="382"/>
    <x v="1"/>
  </r>
  <r>
    <x v="410"/>
    <x v="119"/>
    <x v="6"/>
    <x v="3"/>
    <x v="1"/>
    <x v="2"/>
    <x v="1"/>
    <x v="641"/>
    <x v="4"/>
    <x v="420"/>
    <x v="1"/>
  </r>
  <r>
    <x v="411"/>
    <x v="86"/>
    <x v="4"/>
    <x v="0"/>
    <x v="0"/>
    <x v="1"/>
    <x v="4"/>
    <x v="266"/>
    <x v="4"/>
    <x v="34"/>
    <x v="0"/>
  </r>
  <r>
    <x v="412"/>
    <x v="105"/>
    <x v="2"/>
    <x v="7"/>
    <x v="1"/>
    <x v="3"/>
    <x v="1"/>
    <x v="144"/>
    <x v="2"/>
    <x v="261"/>
    <x v="1"/>
  </r>
  <r>
    <x v="413"/>
    <x v="225"/>
    <x v="0"/>
    <x v="4"/>
    <x v="1"/>
    <x v="1"/>
    <x v="4"/>
    <x v="146"/>
    <x v="4"/>
    <x v="947"/>
    <x v="1"/>
  </r>
  <r>
    <x v="414"/>
    <x v="269"/>
    <x v="0"/>
    <x v="3"/>
    <x v="1"/>
    <x v="1"/>
    <x v="4"/>
    <x v="75"/>
    <x v="1"/>
    <x v="945"/>
    <x v="1"/>
  </r>
  <r>
    <x v="415"/>
    <x v="260"/>
    <x v="6"/>
    <x v="4"/>
    <x v="1"/>
    <x v="3"/>
    <x v="1"/>
    <x v="176"/>
    <x v="2"/>
    <x v="356"/>
    <x v="1"/>
  </r>
  <r>
    <x v="416"/>
    <x v="275"/>
    <x v="1"/>
    <x v="2"/>
    <x v="1"/>
    <x v="3"/>
    <x v="3"/>
    <x v="655"/>
    <x v="3"/>
    <x v="38"/>
    <x v="1"/>
  </r>
  <r>
    <x v="417"/>
    <x v="261"/>
    <x v="2"/>
    <x v="6"/>
    <x v="1"/>
    <x v="2"/>
    <x v="4"/>
    <x v="884"/>
    <x v="1"/>
    <x v="165"/>
    <x v="1"/>
  </r>
  <r>
    <x v="418"/>
    <x v="63"/>
    <x v="2"/>
    <x v="0"/>
    <x v="0"/>
    <x v="2"/>
    <x v="2"/>
    <x v="816"/>
    <x v="1"/>
    <x v="395"/>
    <x v="0"/>
  </r>
  <r>
    <x v="419"/>
    <x v="136"/>
    <x v="0"/>
    <x v="7"/>
    <x v="1"/>
    <x v="2"/>
    <x v="6"/>
    <x v="679"/>
    <x v="1"/>
    <x v="938"/>
    <x v="1"/>
  </r>
  <r>
    <x v="420"/>
    <x v="10"/>
    <x v="4"/>
    <x v="6"/>
    <x v="1"/>
    <x v="2"/>
    <x v="5"/>
    <x v="111"/>
    <x v="3"/>
    <x v="132"/>
    <x v="1"/>
  </r>
  <r>
    <x v="421"/>
    <x v="235"/>
    <x v="8"/>
    <x v="6"/>
    <x v="1"/>
    <x v="2"/>
    <x v="3"/>
    <x v="305"/>
    <x v="0"/>
    <x v="760"/>
    <x v="1"/>
  </r>
  <r>
    <x v="422"/>
    <x v="305"/>
    <x v="5"/>
    <x v="7"/>
    <x v="1"/>
    <x v="3"/>
    <x v="1"/>
    <x v="321"/>
    <x v="5"/>
    <x v="98"/>
    <x v="1"/>
  </r>
  <r>
    <x v="423"/>
    <x v="334"/>
    <x v="8"/>
    <x v="3"/>
    <x v="1"/>
    <x v="1"/>
    <x v="3"/>
    <x v="256"/>
    <x v="4"/>
    <x v="979"/>
    <x v="1"/>
  </r>
  <r>
    <x v="424"/>
    <x v="34"/>
    <x v="2"/>
    <x v="0"/>
    <x v="0"/>
    <x v="2"/>
    <x v="0"/>
    <x v="514"/>
    <x v="2"/>
    <x v="384"/>
    <x v="0"/>
  </r>
  <r>
    <x v="425"/>
    <x v="123"/>
    <x v="8"/>
    <x v="2"/>
    <x v="1"/>
    <x v="2"/>
    <x v="0"/>
    <x v="526"/>
    <x v="0"/>
    <x v="772"/>
    <x v="1"/>
  </r>
  <r>
    <x v="426"/>
    <x v="186"/>
    <x v="0"/>
    <x v="4"/>
    <x v="1"/>
    <x v="1"/>
    <x v="4"/>
    <x v="365"/>
    <x v="2"/>
    <x v="343"/>
    <x v="1"/>
  </r>
  <r>
    <x v="427"/>
    <x v="21"/>
    <x v="0"/>
    <x v="5"/>
    <x v="1"/>
    <x v="2"/>
    <x v="4"/>
    <x v="360"/>
    <x v="4"/>
    <x v="641"/>
    <x v="1"/>
  </r>
  <r>
    <x v="428"/>
    <x v="279"/>
    <x v="6"/>
    <x v="4"/>
    <x v="1"/>
    <x v="1"/>
    <x v="2"/>
    <x v="832"/>
    <x v="3"/>
    <x v="181"/>
    <x v="1"/>
  </r>
  <r>
    <x v="429"/>
    <x v="320"/>
    <x v="2"/>
    <x v="5"/>
    <x v="1"/>
    <x v="1"/>
    <x v="6"/>
    <x v="788"/>
    <x v="1"/>
    <x v="134"/>
    <x v="1"/>
  </r>
  <r>
    <x v="430"/>
    <x v="278"/>
    <x v="6"/>
    <x v="4"/>
    <x v="1"/>
    <x v="3"/>
    <x v="5"/>
    <x v="319"/>
    <x v="1"/>
    <x v="927"/>
    <x v="1"/>
  </r>
  <r>
    <x v="431"/>
    <x v="337"/>
    <x v="2"/>
    <x v="7"/>
    <x v="1"/>
    <x v="0"/>
    <x v="3"/>
    <x v="914"/>
    <x v="3"/>
    <x v="907"/>
    <x v="1"/>
  </r>
  <r>
    <x v="432"/>
    <x v="202"/>
    <x v="5"/>
    <x v="2"/>
    <x v="1"/>
    <x v="3"/>
    <x v="0"/>
    <x v="954"/>
    <x v="0"/>
    <x v="879"/>
    <x v="1"/>
  </r>
  <r>
    <x v="433"/>
    <x v="129"/>
    <x v="5"/>
    <x v="0"/>
    <x v="0"/>
    <x v="0"/>
    <x v="4"/>
    <x v="337"/>
    <x v="0"/>
    <x v="639"/>
    <x v="0"/>
  </r>
  <r>
    <x v="434"/>
    <x v="94"/>
    <x v="1"/>
    <x v="5"/>
    <x v="1"/>
    <x v="0"/>
    <x v="5"/>
    <x v="362"/>
    <x v="2"/>
    <x v="801"/>
    <x v="1"/>
  </r>
  <r>
    <x v="435"/>
    <x v="194"/>
    <x v="2"/>
    <x v="0"/>
    <x v="0"/>
    <x v="0"/>
    <x v="3"/>
    <x v="505"/>
    <x v="3"/>
    <x v="67"/>
    <x v="0"/>
  </r>
  <r>
    <x v="436"/>
    <x v="101"/>
    <x v="4"/>
    <x v="0"/>
    <x v="0"/>
    <x v="2"/>
    <x v="4"/>
    <x v="938"/>
    <x v="0"/>
    <x v="330"/>
    <x v="0"/>
  </r>
  <r>
    <x v="437"/>
    <x v="94"/>
    <x v="8"/>
    <x v="0"/>
    <x v="0"/>
    <x v="3"/>
    <x v="4"/>
    <x v="879"/>
    <x v="3"/>
    <x v="306"/>
    <x v="0"/>
  </r>
  <r>
    <x v="438"/>
    <x v="292"/>
    <x v="2"/>
    <x v="1"/>
    <x v="0"/>
    <x v="0"/>
    <x v="0"/>
    <x v="107"/>
    <x v="4"/>
    <x v="647"/>
    <x v="0"/>
  </r>
  <r>
    <x v="439"/>
    <x v="158"/>
    <x v="3"/>
    <x v="3"/>
    <x v="1"/>
    <x v="1"/>
    <x v="0"/>
    <x v="400"/>
    <x v="1"/>
    <x v="361"/>
    <x v="1"/>
  </r>
  <r>
    <x v="440"/>
    <x v="330"/>
    <x v="1"/>
    <x v="4"/>
    <x v="1"/>
    <x v="2"/>
    <x v="4"/>
    <x v="543"/>
    <x v="1"/>
    <x v="138"/>
    <x v="1"/>
  </r>
  <r>
    <x v="441"/>
    <x v="300"/>
    <x v="3"/>
    <x v="0"/>
    <x v="0"/>
    <x v="3"/>
    <x v="1"/>
    <x v="502"/>
    <x v="1"/>
    <x v="610"/>
    <x v="0"/>
  </r>
  <r>
    <x v="442"/>
    <x v="122"/>
    <x v="0"/>
    <x v="4"/>
    <x v="1"/>
    <x v="0"/>
    <x v="4"/>
    <x v="186"/>
    <x v="3"/>
    <x v="809"/>
    <x v="1"/>
  </r>
  <r>
    <x v="443"/>
    <x v="270"/>
    <x v="5"/>
    <x v="0"/>
    <x v="0"/>
    <x v="1"/>
    <x v="5"/>
    <x v="863"/>
    <x v="3"/>
    <x v="385"/>
    <x v="0"/>
  </r>
  <r>
    <x v="444"/>
    <x v="303"/>
    <x v="8"/>
    <x v="5"/>
    <x v="1"/>
    <x v="3"/>
    <x v="4"/>
    <x v="673"/>
    <x v="2"/>
    <x v="120"/>
    <x v="1"/>
  </r>
  <r>
    <x v="445"/>
    <x v="116"/>
    <x v="2"/>
    <x v="3"/>
    <x v="1"/>
    <x v="3"/>
    <x v="2"/>
    <x v="840"/>
    <x v="1"/>
    <x v="190"/>
    <x v="1"/>
  </r>
  <r>
    <x v="446"/>
    <x v="96"/>
    <x v="3"/>
    <x v="3"/>
    <x v="1"/>
    <x v="2"/>
    <x v="6"/>
    <x v="862"/>
    <x v="2"/>
    <x v="228"/>
    <x v="1"/>
  </r>
  <r>
    <x v="447"/>
    <x v="83"/>
    <x v="8"/>
    <x v="7"/>
    <x v="1"/>
    <x v="3"/>
    <x v="2"/>
    <x v="744"/>
    <x v="1"/>
    <x v="287"/>
    <x v="1"/>
  </r>
  <r>
    <x v="448"/>
    <x v="265"/>
    <x v="0"/>
    <x v="1"/>
    <x v="0"/>
    <x v="2"/>
    <x v="2"/>
    <x v="446"/>
    <x v="2"/>
    <x v="649"/>
    <x v="0"/>
  </r>
  <r>
    <x v="449"/>
    <x v="46"/>
    <x v="5"/>
    <x v="7"/>
    <x v="1"/>
    <x v="0"/>
    <x v="1"/>
    <x v="602"/>
    <x v="2"/>
    <x v="619"/>
    <x v="1"/>
  </r>
  <r>
    <x v="450"/>
    <x v="26"/>
    <x v="4"/>
    <x v="7"/>
    <x v="1"/>
    <x v="2"/>
    <x v="1"/>
    <x v="145"/>
    <x v="4"/>
    <x v="695"/>
    <x v="1"/>
  </r>
  <r>
    <x v="451"/>
    <x v="273"/>
    <x v="1"/>
    <x v="7"/>
    <x v="1"/>
    <x v="1"/>
    <x v="4"/>
    <x v="668"/>
    <x v="2"/>
    <x v="365"/>
    <x v="1"/>
  </r>
  <r>
    <x v="452"/>
    <x v="274"/>
    <x v="8"/>
    <x v="7"/>
    <x v="1"/>
    <x v="2"/>
    <x v="2"/>
    <x v="167"/>
    <x v="3"/>
    <x v="816"/>
    <x v="1"/>
  </r>
  <r>
    <x v="453"/>
    <x v="198"/>
    <x v="8"/>
    <x v="7"/>
    <x v="1"/>
    <x v="1"/>
    <x v="1"/>
    <x v="687"/>
    <x v="2"/>
    <x v="199"/>
    <x v="1"/>
  </r>
  <r>
    <x v="454"/>
    <x v="248"/>
    <x v="4"/>
    <x v="2"/>
    <x v="1"/>
    <x v="2"/>
    <x v="0"/>
    <x v="229"/>
    <x v="1"/>
    <x v="478"/>
    <x v="1"/>
  </r>
  <r>
    <x v="455"/>
    <x v="238"/>
    <x v="8"/>
    <x v="3"/>
    <x v="1"/>
    <x v="3"/>
    <x v="4"/>
    <x v="116"/>
    <x v="2"/>
    <x v="794"/>
    <x v="1"/>
  </r>
  <r>
    <x v="456"/>
    <x v="278"/>
    <x v="0"/>
    <x v="7"/>
    <x v="1"/>
    <x v="0"/>
    <x v="5"/>
    <x v="153"/>
    <x v="0"/>
    <x v="167"/>
    <x v="1"/>
  </r>
  <r>
    <x v="457"/>
    <x v="91"/>
    <x v="0"/>
    <x v="0"/>
    <x v="0"/>
    <x v="1"/>
    <x v="6"/>
    <x v="3"/>
    <x v="5"/>
    <x v="100"/>
    <x v="0"/>
  </r>
  <r>
    <x v="458"/>
    <x v="320"/>
    <x v="4"/>
    <x v="3"/>
    <x v="1"/>
    <x v="2"/>
    <x v="3"/>
    <x v="719"/>
    <x v="1"/>
    <x v="872"/>
    <x v="1"/>
  </r>
  <r>
    <x v="459"/>
    <x v="100"/>
    <x v="1"/>
    <x v="3"/>
    <x v="1"/>
    <x v="2"/>
    <x v="4"/>
    <x v="729"/>
    <x v="0"/>
    <x v="344"/>
    <x v="1"/>
  </r>
  <r>
    <x v="460"/>
    <x v="168"/>
    <x v="2"/>
    <x v="6"/>
    <x v="1"/>
    <x v="2"/>
    <x v="3"/>
    <x v="513"/>
    <x v="1"/>
    <x v="684"/>
    <x v="1"/>
  </r>
  <r>
    <x v="461"/>
    <x v="289"/>
    <x v="3"/>
    <x v="2"/>
    <x v="1"/>
    <x v="3"/>
    <x v="2"/>
    <x v="148"/>
    <x v="3"/>
    <x v="24"/>
    <x v="1"/>
  </r>
  <r>
    <x v="462"/>
    <x v="0"/>
    <x v="2"/>
    <x v="7"/>
    <x v="1"/>
    <x v="3"/>
    <x v="6"/>
    <x v="90"/>
    <x v="5"/>
    <x v="686"/>
    <x v="1"/>
  </r>
  <r>
    <x v="463"/>
    <x v="295"/>
    <x v="8"/>
    <x v="4"/>
    <x v="1"/>
    <x v="1"/>
    <x v="3"/>
    <x v="21"/>
    <x v="5"/>
    <x v="308"/>
    <x v="1"/>
  </r>
  <r>
    <x v="464"/>
    <x v="50"/>
    <x v="3"/>
    <x v="5"/>
    <x v="1"/>
    <x v="1"/>
    <x v="2"/>
    <x v="154"/>
    <x v="3"/>
    <x v="54"/>
    <x v="1"/>
  </r>
  <r>
    <x v="465"/>
    <x v="137"/>
    <x v="6"/>
    <x v="1"/>
    <x v="0"/>
    <x v="3"/>
    <x v="0"/>
    <x v="895"/>
    <x v="5"/>
    <x v="626"/>
    <x v="0"/>
  </r>
  <r>
    <x v="466"/>
    <x v="285"/>
    <x v="4"/>
    <x v="0"/>
    <x v="0"/>
    <x v="1"/>
    <x v="3"/>
    <x v="243"/>
    <x v="3"/>
    <x v="233"/>
    <x v="0"/>
  </r>
  <r>
    <x v="467"/>
    <x v="125"/>
    <x v="4"/>
    <x v="4"/>
    <x v="1"/>
    <x v="0"/>
    <x v="6"/>
    <x v="361"/>
    <x v="0"/>
    <x v="390"/>
    <x v="1"/>
  </r>
  <r>
    <x v="468"/>
    <x v="188"/>
    <x v="1"/>
    <x v="2"/>
    <x v="1"/>
    <x v="0"/>
    <x v="4"/>
    <x v="108"/>
    <x v="4"/>
    <x v="74"/>
    <x v="1"/>
  </r>
  <r>
    <x v="469"/>
    <x v="289"/>
    <x v="3"/>
    <x v="5"/>
    <x v="1"/>
    <x v="3"/>
    <x v="2"/>
    <x v="223"/>
    <x v="1"/>
    <x v="136"/>
    <x v="1"/>
  </r>
  <r>
    <x v="470"/>
    <x v="106"/>
    <x v="0"/>
    <x v="2"/>
    <x v="1"/>
    <x v="1"/>
    <x v="4"/>
    <x v="518"/>
    <x v="3"/>
    <x v="284"/>
    <x v="1"/>
  </r>
  <r>
    <x v="471"/>
    <x v="142"/>
    <x v="3"/>
    <x v="0"/>
    <x v="0"/>
    <x v="2"/>
    <x v="6"/>
    <x v="598"/>
    <x v="1"/>
    <x v="85"/>
    <x v="0"/>
  </r>
  <r>
    <x v="472"/>
    <x v="268"/>
    <x v="8"/>
    <x v="3"/>
    <x v="1"/>
    <x v="0"/>
    <x v="1"/>
    <x v="248"/>
    <x v="0"/>
    <x v="901"/>
    <x v="1"/>
  </r>
  <r>
    <x v="473"/>
    <x v="57"/>
    <x v="0"/>
    <x v="5"/>
    <x v="1"/>
    <x v="3"/>
    <x v="2"/>
    <x v="57"/>
    <x v="4"/>
    <x v="4"/>
    <x v="1"/>
  </r>
  <r>
    <x v="474"/>
    <x v="226"/>
    <x v="5"/>
    <x v="3"/>
    <x v="1"/>
    <x v="1"/>
    <x v="3"/>
    <x v="396"/>
    <x v="0"/>
    <x v="498"/>
    <x v="1"/>
  </r>
  <r>
    <x v="475"/>
    <x v="22"/>
    <x v="5"/>
    <x v="0"/>
    <x v="0"/>
    <x v="3"/>
    <x v="2"/>
    <x v="234"/>
    <x v="5"/>
    <x v="111"/>
    <x v="0"/>
  </r>
  <r>
    <x v="476"/>
    <x v="82"/>
    <x v="6"/>
    <x v="4"/>
    <x v="1"/>
    <x v="2"/>
    <x v="4"/>
    <x v="218"/>
    <x v="1"/>
    <x v="297"/>
    <x v="1"/>
  </r>
  <r>
    <x v="477"/>
    <x v="68"/>
    <x v="5"/>
    <x v="0"/>
    <x v="0"/>
    <x v="0"/>
    <x v="0"/>
    <x v="957"/>
    <x v="4"/>
    <x v="915"/>
    <x v="0"/>
  </r>
  <r>
    <x v="478"/>
    <x v="271"/>
    <x v="4"/>
    <x v="4"/>
    <x v="1"/>
    <x v="3"/>
    <x v="2"/>
    <x v="606"/>
    <x v="5"/>
    <x v="148"/>
    <x v="1"/>
  </r>
  <r>
    <x v="479"/>
    <x v="194"/>
    <x v="3"/>
    <x v="5"/>
    <x v="1"/>
    <x v="3"/>
    <x v="3"/>
    <x v="545"/>
    <x v="4"/>
    <x v="958"/>
    <x v="1"/>
  </r>
  <r>
    <x v="480"/>
    <x v="321"/>
    <x v="5"/>
    <x v="5"/>
    <x v="1"/>
    <x v="3"/>
    <x v="1"/>
    <x v="418"/>
    <x v="5"/>
    <x v="202"/>
    <x v="1"/>
  </r>
  <r>
    <x v="481"/>
    <x v="16"/>
    <x v="2"/>
    <x v="7"/>
    <x v="1"/>
    <x v="2"/>
    <x v="5"/>
    <x v="431"/>
    <x v="0"/>
    <x v="734"/>
    <x v="1"/>
  </r>
  <r>
    <x v="482"/>
    <x v="117"/>
    <x v="1"/>
    <x v="2"/>
    <x v="1"/>
    <x v="3"/>
    <x v="0"/>
    <x v="532"/>
    <x v="3"/>
    <x v="559"/>
    <x v="1"/>
  </r>
  <r>
    <x v="483"/>
    <x v="338"/>
    <x v="2"/>
    <x v="7"/>
    <x v="1"/>
    <x v="2"/>
    <x v="1"/>
    <x v="691"/>
    <x v="1"/>
    <x v="874"/>
    <x v="1"/>
  </r>
  <r>
    <x v="484"/>
    <x v="232"/>
    <x v="5"/>
    <x v="2"/>
    <x v="1"/>
    <x v="2"/>
    <x v="2"/>
    <x v="698"/>
    <x v="2"/>
    <x v="569"/>
    <x v="1"/>
  </r>
  <r>
    <x v="485"/>
    <x v="165"/>
    <x v="6"/>
    <x v="7"/>
    <x v="1"/>
    <x v="2"/>
    <x v="4"/>
    <x v="162"/>
    <x v="2"/>
    <x v="546"/>
    <x v="1"/>
  </r>
  <r>
    <x v="486"/>
    <x v="168"/>
    <x v="1"/>
    <x v="3"/>
    <x v="1"/>
    <x v="0"/>
    <x v="6"/>
    <x v="496"/>
    <x v="0"/>
    <x v="186"/>
    <x v="1"/>
  </r>
  <r>
    <x v="487"/>
    <x v="140"/>
    <x v="8"/>
    <x v="5"/>
    <x v="1"/>
    <x v="0"/>
    <x v="4"/>
    <x v="417"/>
    <x v="1"/>
    <x v="152"/>
    <x v="1"/>
  </r>
  <r>
    <x v="488"/>
    <x v="22"/>
    <x v="2"/>
    <x v="4"/>
    <x v="1"/>
    <x v="3"/>
    <x v="3"/>
    <x v="874"/>
    <x v="1"/>
    <x v="906"/>
    <x v="1"/>
  </r>
  <r>
    <x v="489"/>
    <x v="166"/>
    <x v="6"/>
    <x v="2"/>
    <x v="1"/>
    <x v="3"/>
    <x v="4"/>
    <x v="623"/>
    <x v="0"/>
    <x v="319"/>
    <x v="1"/>
  </r>
  <r>
    <x v="490"/>
    <x v="184"/>
    <x v="3"/>
    <x v="0"/>
    <x v="0"/>
    <x v="0"/>
    <x v="0"/>
    <x v="525"/>
    <x v="1"/>
    <x v="375"/>
    <x v="0"/>
  </r>
  <r>
    <x v="491"/>
    <x v="318"/>
    <x v="3"/>
    <x v="2"/>
    <x v="1"/>
    <x v="1"/>
    <x v="4"/>
    <x v="114"/>
    <x v="3"/>
    <x v="754"/>
    <x v="1"/>
  </r>
  <r>
    <x v="492"/>
    <x v="149"/>
    <x v="2"/>
    <x v="4"/>
    <x v="1"/>
    <x v="0"/>
    <x v="3"/>
    <x v="595"/>
    <x v="0"/>
    <x v="335"/>
    <x v="1"/>
  </r>
  <r>
    <x v="493"/>
    <x v="163"/>
    <x v="5"/>
    <x v="7"/>
    <x v="1"/>
    <x v="2"/>
    <x v="5"/>
    <x v="115"/>
    <x v="3"/>
    <x v="941"/>
    <x v="1"/>
  </r>
  <r>
    <x v="494"/>
    <x v="263"/>
    <x v="6"/>
    <x v="2"/>
    <x v="1"/>
    <x v="0"/>
    <x v="2"/>
    <x v="346"/>
    <x v="1"/>
    <x v="730"/>
    <x v="1"/>
  </r>
  <r>
    <x v="495"/>
    <x v="57"/>
    <x v="3"/>
    <x v="1"/>
    <x v="0"/>
    <x v="2"/>
    <x v="6"/>
    <x v="128"/>
    <x v="0"/>
    <x v="613"/>
    <x v="0"/>
  </r>
  <r>
    <x v="496"/>
    <x v="138"/>
    <x v="8"/>
    <x v="3"/>
    <x v="1"/>
    <x v="3"/>
    <x v="2"/>
    <x v="684"/>
    <x v="1"/>
    <x v="871"/>
    <x v="1"/>
  </r>
  <r>
    <x v="497"/>
    <x v="142"/>
    <x v="0"/>
    <x v="5"/>
    <x v="1"/>
    <x v="1"/>
    <x v="4"/>
    <x v="203"/>
    <x v="0"/>
    <x v="43"/>
    <x v="1"/>
  </r>
  <r>
    <x v="498"/>
    <x v="144"/>
    <x v="5"/>
    <x v="4"/>
    <x v="1"/>
    <x v="3"/>
    <x v="1"/>
    <x v="397"/>
    <x v="1"/>
    <x v="249"/>
    <x v="1"/>
  </r>
  <r>
    <x v="499"/>
    <x v="45"/>
    <x v="6"/>
    <x v="5"/>
    <x v="1"/>
    <x v="2"/>
    <x v="2"/>
    <x v="900"/>
    <x v="3"/>
    <x v="475"/>
    <x v="1"/>
  </r>
  <r>
    <x v="500"/>
    <x v="312"/>
    <x v="8"/>
    <x v="1"/>
    <x v="0"/>
    <x v="2"/>
    <x v="5"/>
    <x v="199"/>
    <x v="3"/>
    <x v="218"/>
    <x v="0"/>
  </r>
  <r>
    <x v="501"/>
    <x v="76"/>
    <x v="6"/>
    <x v="2"/>
    <x v="1"/>
    <x v="2"/>
    <x v="4"/>
    <x v="998"/>
    <x v="1"/>
    <x v="740"/>
    <x v="1"/>
  </r>
  <r>
    <x v="502"/>
    <x v="335"/>
    <x v="1"/>
    <x v="2"/>
    <x v="1"/>
    <x v="1"/>
    <x v="6"/>
    <x v="422"/>
    <x v="0"/>
    <x v="908"/>
    <x v="1"/>
  </r>
  <r>
    <x v="503"/>
    <x v="163"/>
    <x v="8"/>
    <x v="0"/>
    <x v="0"/>
    <x v="0"/>
    <x v="3"/>
    <x v="20"/>
    <x v="2"/>
    <x v="434"/>
    <x v="0"/>
  </r>
  <r>
    <x v="504"/>
    <x v="136"/>
    <x v="5"/>
    <x v="1"/>
    <x v="0"/>
    <x v="3"/>
    <x v="5"/>
    <x v="792"/>
    <x v="3"/>
    <x v="342"/>
    <x v="0"/>
  </r>
  <r>
    <x v="505"/>
    <x v="107"/>
    <x v="1"/>
    <x v="4"/>
    <x v="1"/>
    <x v="3"/>
    <x v="4"/>
    <x v="74"/>
    <x v="3"/>
    <x v="954"/>
    <x v="1"/>
  </r>
  <r>
    <x v="506"/>
    <x v="317"/>
    <x v="5"/>
    <x v="0"/>
    <x v="0"/>
    <x v="0"/>
    <x v="5"/>
    <x v="476"/>
    <x v="5"/>
    <x v="459"/>
    <x v="0"/>
  </r>
  <r>
    <x v="507"/>
    <x v="57"/>
    <x v="3"/>
    <x v="3"/>
    <x v="1"/>
    <x v="3"/>
    <x v="2"/>
    <x v="548"/>
    <x v="2"/>
    <x v="505"/>
    <x v="1"/>
  </r>
  <r>
    <x v="508"/>
    <x v="175"/>
    <x v="0"/>
    <x v="0"/>
    <x v="0"/>
    <x v="1"/>
    <x v="6"/>
    <x v="620"/>
    <x v="1"/>
    <x v="355"/>
    <x v="0"/>
  </r>
  <r>
    <x v="509"/>
    <x v="334"/>
    <x v="5"/>
    <x v="6"/>
    <x v="1"/>
    <x v="3"/>
    <x v="3"/>
    <x v="681"/>
    <x v="0"/>
    <x v="898"/>
    <x v="1"/>
  </r>
  <r>
    <x v="510"/>
    <x v="45"/>
    <x v="5"/>
    <x v="4"/>
    <x v="1"/>
    <x v="2"/>
    <x v="4"/>
    <x v="261"/>
    <x v="5"/>
    <x v="581"/>
    <x v="1"/>
  </r>
  <r>
    <x v="511"/>
    <x v="302"/>
    <x v="3"/>
    <x v="6"/>
    <x v="1"/>
    <x v="0"/>
    <x v="0"/>
    <x v="11"/>
    <x v="1"/>
    <x v="758"/>
    <x v="1"/>
  </r>
  <r>
    <x v="512"/>
    <x v="238"/>
    <x v="4"/>
    <x v="1"/>
    <x v="0"/>
    <x v="1"/>
    <x v="3"/>
    <x v="721"/>
    <x v="4"/>
    <x v="806"/>
    <x v="0"/>
  </r>
  <r>
    <x v="513"/>
    <x v="207"/>
    <x v="3"/>
    <x v="7"/>
    <x v="1"/>
    <x v="0"/>
    <x v="0"/>
    <x v="527"/>
    <x v="3"/>
    <x v="340"/>
    <x v="1"/>
  </r>
  <r>
    <x v="514"/>
    <x v="129"/>
    <x v="1"/>
    <x v="6"/>
    <x v="1"/>
    <x v="1"/>
    <x v="5"/>
    <x v="837"/>
    <x v="4"/>
    <x v="446"/>
    <x v="1"/>
  </r>
  <r>
    <x v="515"/>
    <x v="199"/>
    <x v="3"/>
    <x v="3"/>
    <x v="1"/>
    <x v="2"/>
    <x v="1"/>
    <x v="822"/>
    <x v="3"/>
    <x v="834"/>
    <x v="1"/>
  </r>
  <r>
    <x v="516"/>
    <x v="195"/>
    <x v="3"/>
    <x v="0"/>
    <x v="0"/>
    <x v="0"/>
    <x v="3"/>
    <x v="848"/>
    <x v="3"/>
    <x v="367"/>
    <x v="0"/>
  </r>
  <r>
    <x v="517"/>
    <x v="294"/>
    <x v="0"/>
    <x v="7"/>
    <x v="1"/>
    <x v="3"/>
    <x v="5"/>
    <x v="484"/>
    <x v="4"/>
    <x v="785"/>
    <x v="1"/>
  </r>
  <r>
    <x v="518"/>
    <x v="29"/>
    <x v="3"/>
    <x v="0"/>
    <x v="0"/>
    <x v="1"/>
    <x v="0"/>
    <x v="342"/>
    <x v="4"/>
    <x v="930"/>
    <x v="0"/>
  </r>
  <r>
    <x v="519"/>
    <x v="146"/>
    <x v="6"/>
    <x v="6"/>
    <x v="1"/>
    <x v="0"/>
    <x v="2"/>
    <x v="789"/>
    <x v="1"/>
    <x v="636"/>
    <x v="1"/>
  </r>
  <r>
    <x v="520"/>
    <x v="263"/>
    <x v="5"/>
    <x v="0"/>
    <x v="0"/>
    <x v="3"/>
    <x v="2"/>
    <x v="457"/>
    <x v="5"/>
    <x v="735"/>
    <x v="0"/>
  </r>
  <r>
    <x v="521"/>
    <x v="281"/>
    <x v="6"/>
    <x v="1"/>
    <x v="0"/>
    <x v="0"/>
    <x v="1"/>
    <x v="173"/>
    <x v="5"/>
    <x v="799"/>
    <x v="0"/>
  </r>
  <r>
    <x v="522"/>
    <x v="264"/>
    <x v="0"/>
    <x v="7"/>
    <x v="1"/>
    <x v="0"/>
    <x v="3"/>
    <x v="858"/>
    <x v="4"/>
    <x v="831"/>
    <x v="1"/>
  </r>
  <r>
    <x v="523"/>
    <x v="132"/>
    <x v="2"/>
    <x v="1"/>
    <x v="0"/>
    <x v="0"/>
    <x v="3"/>
    <x v="885"/>
    <x v="1"/>
    <x v="402"/>
    <x v="0"/>
  </r>
  <r>
    <x v="524"/>
    <x v="18"/>
    <x v="4"/>
    <x v="6"/>
    <x v="1"/>
    <x v="1"/>
    <x v="3"/>
    <x v="471"/>
    <x v="5"/>
    <x v="45"/>
    <x v="1"/>
  </r>
  <r>
    <x v="525"/>
    <x v="17"/>
    <x v="6"/>
    <x v="1"/>
    <x v="0"/>
    <x v="3"/>
    <x v="5"/>
    <x v="81"/>
    <x v="1"/>
    <x v="407"/>
    <x v="0"/>
  </r>
  <r>
    <x v="526"/>
    <x v="238"/>
    <x v="0"/>
    <x v="3"/>
    <x v="1"/>
    <x v="2"/>
    <x v="6"/>
    <x v="393"/>
    <x v="1"/>
    <x v="672"/>
    <x v="1"/>
  </r>
  <r>
    <x v="527"/>
    <x v="71"/>
    <x v="1"/>
    <x v="6"/>
    <x v="1"/>
    <x v="1"/>
    <x v="6"/>
    <x v="804"/>
    <x v="3"/>
    <x v="465"/>
    <x v="1"/>
  </r>
  <r>
    <x v="528"/>
    <x v="161"/>
    <x v="2"/>
    <x v="6"/>
    <x v="1"/>
    <x v="1"/>
    <x v="1"/>
    <x v="904"/>
    <x v="5"/>
    <x v="743"/>
    <x v="1"/>
  </r>
  <r>
    <x v="529"/>
    <x v="180"/>
    <x v="0"/>
    <x v="6"/>
    <x v="1"/>
    <x v="1"/>
    <x v="3"/>
    <x v="198"/>
    <x v="5"/>
    <x v="362"/>
    <x v="1"/>
  </r>
  <r>
    <x v="530"/>
    <x v="103"/>
    <x v="0"/>
    <x v="4"/>
    <x v="1"/>
    <x v="2"/>
    <x v="5"/>
    <x v="66"/>
    <x v="3"/>
    <x v="644"/>
    <x v="1"/>
  </r>
  <r>
    <x v="531"/>
    <x v="104"/>
    <x v="4"/>
    <x v="0"/>
    <x v="0"/>
    <x v="3"/>
    <x v="2"/>
    <x v="880"/>
    <x v="4"/>
    <x v="176"/>
    <x v="0"/>
  </r>
  <r>
    <x v="532"/>
    <x v="205"/>
    <x v="5"/>
    <x v="4"/>
    <x v="1"/>
    <x v="3"/>
    <x v="0"/>
    <x v="395"/>
    <x v="3"/>
    <x v="744"/>
    <x v="1"/>
  </r>
  <r>
    <x v="533"/>
    <x v="154"/>
    <x v="6"/>
    <x v="4"/>
    <x v="1"/>
    <x v="3"/>
    <x v="5"/>
    <x v="533"/>
    <x v="5"/>
    <x v="557"/>
    <x v="1"/>
  </r>
  <r>
    <x v="534"/>
    <x v="295"/>
    <x v="1"/>
    <x v="3"/>
    <x v="1"/>
    <x v="0"/>
    <x v="6"/>
    <x v="967"/>
    <x v="5"/>
    <x v="198"/>
    <x v="1"/>
  </r>
  <r>
    <x v="535"/>
    <x v="121"/>
    <x v="8"/>
    <x v="7"/>
    <x v="1"/>
    <x v="0"/>
    <x v="6"/>
    <x v="65"/>
    <x v="4"/>
    <x v="281"/>
    <x v="1"/>
  </r>
  <r>
    <x v="536"/>
    <x v="245"/>
    <x v="6"/>
    <x v="0"/>
    <x v="0"/>
    <x v="0"/>
    <x v="2"/>
    <x v="633"/>
    <x v="3"/>
    <x v="742"/>
    <x v="0"/>
  </r>
  <r>
    <x v="537"/>
    <x v="50"/>
    <x v="8"/>
    <x v="1"/>
    <x v="0"/>
    <x v="2"/>
    <x v="2"/>
    <x v="79"/>
    <x v="0"/>
    <x v="494"/>
    <x v="0"/>
  </r>
  <r>
    <x v="538"/>
    <x v="333"/>
    <x v="0"/>
    <x v="2"/>
    <x v="1"/>
    <x v="0"/>
    <x v="0"/>
    <x v="386"/>
    <x v="0"/>
    <x v="211"/>
    <x v="1"/>
  </r>
  <r>
    <x v="539"/>
    <x v="120"/>
    <x v="3"/>
    <x v="6"/>
    <x v="1"/>
    <x v="2"/>
    <x v="2"/>
    <x v="806"/>
    <x v="4"/>
    <x v="965"/>
    <x v="1"/>
  </r>
  <r>
    <x v="540"/>
    <x v="266"/>
    <x v="1"/>
    <x v="1"/>
    <x v="0"/>
    <x v="3"/>
    <x v="1"/>
    <x v="438"/>
    <x v="3"/>
    <x v="707"/>
    <x v="0"/>
  </r>
  <r>
    <x v="541"/>
    <x v="247"/>
    <x v="2"/>
    <x v="6"/>
    <x v="1"/>
    <x v="0"/>
    <x v="0"/>
    <x v="993"/>
    <x v="3"/>
    <x v="949"/>
    <x v="1"/>
  </r>
  <r>
    <x v="542"/>
    <x v="150"/>
    <x v="3"/>
    <x v="3"/>
    <x v="1"/>
    <x v="0"/>
    <x v="2"/>
    <x v="547"/>
    <x v="1"/>
    <x v="437"/>
    <x v="1"/>
  </r>
  <r>
    <x v="543"/>
    <x v="79"/>
    <x v="3"/>
    <x v="6"/>
    <x v="1"/>
    <x v="1"/>
    <x v="4"/>
    <x v="329"/>
    <x v="5"/>
    <x v="488"/>
    <x v="1"/>
  </r>
  <r>
    <x v="544"/>
    <x v="50"/>
    <x v="6"/>
    <x v="4"/>
    <x v="1"/>
    <x v="2"/>
    <x v="5"/>
    <x v="219"/>
    <x v="2"/>
    <x v="890"/>
    <x v="1"/>
  </r>
  <r>
    <x v="545"/>
    <x v="266"/>
    <x v="1"/>
    <x v="0"/>
    <x v="0"/>
    <x v="3"/>
    <x v="2"/>
    <x v="356"/>
    <x v="4"/>
    <x v="540"/>
    <x v="0"/>
  </r>
  <r>
    <x v="546"/>
    <x v="164"/>
    <x v="5"/>
    <x v="2"/>
    <x v="1"/>
    <x v="1"/>
    <x v="1"/>
    <x v="382"/>
    <x v="2"/>
    <x v="704"/>
    <x v="1"/>
  </r>
  <r>
    <x v="547"/>
    <x v="323"/>
    <x v="0"/>
    <x v="5"/>
    <x v="1"/>
    <x v="1"/>
    <x v="3"/>
    <x v="72"/>
    <x v="2"/>
    <x v="245"/>
    <x v="1"/>
  </r>
  <r>
    <x v="548"/>
    <x v="7"/>
    <x v="0"/>
    <x v="6"/>
    <x v="1"/>
    <x v="3"/>
    <x v="2"/>
    <x v="375"/>
    <x v="4"/>
    <x v="462"/>
    <x v="1"/>
  </r>
  <r>
    <x v="549"/>
    <x v="297"/>
    <x v="0"/>
    <x v="1"/>
    <x v="0"/>
    <x v="1"/>
    <x v="6"/>
    <x v="468"/>
    <x v="3"/>
    <x v="112"/>
    <x v="0"/>
  </r>
  <r>
    <x v="550"/>
    <x v="289"/>
    <x v="0"/>
    <x v="4"/>
    <x v="1"/>
    <x v="2"/>
    <x v="6"/>
    <x v="720"/>
    <x v="4"/>
    <x v="203"/>
    <x v="1"/>
  </r>
  <r>
    <x v="551"/>
    <x v="229"/>
    <x v="6"/>
    <x v="5"/>
    <x v="1"/>
    <x v="2"/>
    <x v="6"/>
    <x v="643"/>
    <x v="2"/>
    <x v="3"/>
    <x v="1"/>
  </r>
  <r>
    <x v="552"/>
    <x v="299"/>
    <x v="8"/>
    <x v="2"/>
    <x v="1"/>
    <x v="0"/>
    <x v="3"/>
    <x v="707"/>
    <x v="5"/>
    <x v="32"/>
    <x v="1"/>
  </r>
  <r>
    <x v="553"/>
    <x v="236"/>
    <x v="0"/>
    <x v="5"/>
    <x v="1"/>
    <x v="1"/>
    <x v="6"/>
    <x v="8"/>
    <x v="5"/>
    <x v="975"/>
    <x v="1"/>
  </r>
  <r>
    <x v="554"/>
    <x v="303"/>
    <x v="8"/>
    <x v="4"/>
    <x v="1"/>
    <x v="0"/>
    <x v="4"/>
    <x v="214"/>
    <x v="5"/>
    <x v="235"/>
    <x v="1"/>
  </r>
  <r>
    <x v="555"/>
    <x v="49"/>
    <x v="8"/>
    <x v="0"/>
    <x v="0"/>
    <x v="1"/>
    <x v="2"/>
    <x v="649"/>
    <x v="3"/>
    <x v="664"/>
    <x v="0"/>
  </r>
  <r>
    <x v="556"/>
    <x v="230"/>
    <x v="5"/>
    <x v="0"/>
    <x v="0"/>
    <x v="2"/>
    <x v="6"/>
    <x v="482"/>
    <x v="0"/>
    <x v="828"/>
    <x v="0"/>
  </r>
  <r>
    <x v="557"/>
    <x v="221"/>
    <x v="0"/>
    <x v="7"/>
    <x v="1"/>
    <x v="2"/>
    <x v="0"/>
    <x v="4"/>
    <x v="4"/>
    <x v="566"/>
    <x v="1"/>
  </r>
  <r>
    <x v="558"/>
    <x v="212"/>
    <x v="4"/>
    <x v="0"/>
    <x v="0"/>
    <x v="2"/>
    <x v="3"/>
    <x v="808"/>
    <x v="5"/>
    <x v="140"/>
    <x v="0"/>
  </r>
  <r>
    <x v="559"/>
    <x v="61"/>
    <x v="2"/>
    <x v="7"/>
    <x v="1"/>
    <x v="1"/>
    <x v="4"/>
    <x v="775"/>
    <x v="4"/>
    <x v="721"/>
    <x v="1"/>
  </r>
  <r>
    <x v="560"/>
    <x v="46"/>
    <x v="3"/>
    <x v="5"/>
    <x v="1"/>
    <x v="2"/>
    <x v="0"/>
    <x v="538"/>
    <x v="5"/>
    <x v="616"/>
    <x v="1"/>
  </r>
  <r>
    <x v="561"/>
    <x v="88"/>
    <x v="8"/>
    <x v="3"/>
    <x v="1"/>
    <x v="1"/>
    <x v="0"/>
    <x v="64"/>
    <x v="3"/>
    <x v="724"/>
    <x v="1"/>
  </r>
  <r>
    <x v="562"/>
    <x v="83"/>
    <x v="1"/>
    <x v="1"/>
    <x v="0"/>
    <x v="0"/>
    <x v="0"/>
    <x v="770"/>
    <x v="0"/>
    <x v="769"/>
    <x v="0"/>
  </r>
  <r>
    <x v="563"/>
    <x v="245"/>
    <x v="1"/>
    <x v="1"/>
    <x v="0"/>
    <x v="1"/>
    <x v="0"/>
    <x v="574"/>
    <x v="0"/>
    <x v="971"/>
    <x v="0"/>
  </r>
  <r>
    <x v="564"/>
    <x v="268"/>
    <x v="2"/>
    <x v="5"/>
    <x v="1"/>
    <x v="0"/>
    <x v="2"/>
    <x v="782"/>
    <x v="5"/>
    <x v="588"/>
    <x v="1"/>
  </r>
  <r>
    <x v="565"/>
    <x v="87"/>
    <x v="1"/>
    <x v="6"/>
    <x v="1"/>
    <x v="1"/>
    <x v="6"/>
    <x v="751"/>
    <x v="3"/>
    <x v="339"/>
    <x v="1"/>
  </r>
  <r>
    <x v="566"/>
    <x v="80"/>
    <x v="4"/>
    <x v="6"/>
    <x v="1"/>
    <x v="0"/>
    <x v="5"/>
    <x v="803"/>
    <x v="1"/>
    <x v="655"/>
    <x v="1"/>
  </r>
  <r>
    <x v="567"/>
    <x v="71"/>
    <x v="1"/>
    <x v="0"/>
    <x v="0"/>
    <x v="2"/>
    <x v="2"/>
    <x v="516"/>
    <x v="4"/>
    <x v="65"/>
    <x v="0"/>
  </r>
  <r>
    <x v="568"/>
    <x v="266"/>
    <x v="3"/>
    <x v="1"/>
    <x v="0"/>
    <x v="0"/>
    <x v="2"/>
    <x v="126"/>
    <x v="4"/>
    <x v="889"/>
    <x v="0"/>
  </r>
  <r>
    <x v="569"/>
    <x v="109"/>
    <x v="3"/>
    <x v="1"/>
    <x v="0"/>
    <x v="2"/>
    <x v="4"/>
    <x v="662"/>
    <x v="2"/>
    <x v="106"/>
    <x v="0"/>
  </r>
  <r>
    <x v="570"/>
    <x v="278"/>
    <x v="8"/>
    <x v="7"/>
    <x v="1"/>
    <x v="2"/>
    <x v="4"/>
    <x v="609"/>
    <x v="3"/>
    <x v="320"/>
    <x v="1"/>
  </r>
  <r>
    <x v="571"/>
    <x v="153"/>
    <x v="0"/>
    <x v="3"/>
    <x v="1"/>
    <x v="0"/>
    <x v="6"/>
    <x v="741"/>
    <x v="2"/>
    <x v="810"/>
    <x v="1"/>
  </r>
  <r>
    <x v="572"/>
    <x v="168"/>
    <x v="5"/>
    <x v="4"/>
    <x v="1"/>
    <x v="1"/>
    <x v="5"/>
    <x v="160"/>
    <x v="5"/>
    <x v="612"/>
    <x v="1"/>
  </r>
  <r>
    <x v="573"/>
    <x v="206"/>
    <x v="4"/>
    <x v="6"/>
    <x v="1"/>
    <x v="1"/>
    <x v="4"/>
    <x v="187"/>
    <x v="2"/>
    <x v="399"/>
    <x v="1"/>
  </r>
  <r>
    <x v="574"/>
    <x v="287"/>
    <x v="8"/>
    <x v="1"/>
    <x v="0"/>
    <x v="3"/>
    <x v="6"/>
    <x v="894"/>
    <x v="0"/>
    <x v="483"/>
    <x v="0"/>
  </r>
  <r>
    <x v="575"/>
    <x v="6"/>
    <x v="4"/>
    <x v="7"/>
    <x v="1"/>
    <x v="1"/>
    <x v="6"/>
    <x v="746"/>
    <x v="4"/>
    <x v="839"/>
    <x v="1"/>
  </r>
  <r>
    <x v="576"/>
    <x v="305"/>
    <x v="0"/>
    <x v="2"/>
    <x v="1"/>
    <x v="3"/>
    <x v="1"/>
    <x v="910"/>
    <x v="2"/>
    <x v="337"/>
    <x v="1"/>
  </r>
  <r>
    <x v="577"/>
    <x v="244"/>
    <x v="6"/>
    <x v="7"/>
    <x v="1"/>
    <x v="1"/>
    <x v="5"/>
    <x v="758"/>
    <x v="0"/>
    <x v="860"/>
    <x v="1"/>
  </r>
  <r>
    <x v="578"/>
    <x v="149"/>
    <x v="1"/>
    <x v="6"/>
    <x v="1"/>
    <x v="1"/>
    <x v="4"/>
    <x v="589"/>
    <x v="3"/>
    <x v="84"/>
    <x v="1"/>
  </r>
  <r>
    <x v="579"/>
    <x v="139"/>
    <x v="1"/>
    <x v="6"/>
    <x v="1"/>
    <x v="2"/>
    <x v="5"/>
    <x v="638"/>
    <x v="2"/>
    <x v="774"/>
    <x v="1"/>
  </r>
  <r>
    <x v="580"/>
    <x v="77"/>
    <x v="5"/>
    <x v="7"/>
    <x v="1"/>
    <x v="3"/>
    <x v="2"/>
    <x v="892"/>
    <x v="5"/>
    <x v="833"/>
    <x v="1"/>
  </r>
  <r>
    <x v="581"/>
    <x v="135"/>
    <x v="0"/>
    <x v="4"/>
    <x v="1"/>
    <x v="1"/>
    <x v="2"/>
    <x v="566"/>
    <x v="5"/>
    <x v="171"/>
    <x v="1"/>
  </r>
  <r>
    <x v="582"/>
    <x v="102"/>
    <x v="8"/>
    <x v="5"/>
    <x v="1"/>
    <x v="3"/>
    <x v="5"/>
    <x v="625"/>
    <x v="5"/>
    <x v="442"/>
    <x v="1"/>
  </r>
  <r>
    <x v="583"/>
    <x v="32"/>
    <x v="5"/>
    <x v="6"/>
    <x v="1"/>
    <x v="2"/>
    <x v="1"/>
    <x v="142"/>
    <x v="4"/>
    <x v="150"/>
    <x v="1"/>
  </r>
  <r>
    <x v="584"/>
    <x v="263"/>
    <x v="0"/>
    <x v="7"/>
    <x v="1"/>
    <x v="2"/>
    <x v="1"/>
    <x v="475"/>
    <x v="2"/>
    <x v="703"/>
    <x v="1"/>
  </r>
  <r>
    <x v="585"/>
    <x v="174"/>
    <x v="2"/>
    <x v="1"/>
    <x v="0"/>
    <x v="3"/>
    <x v="5"/>
    <x v="716"/>
    <x v="3"/>
    <x v="547"/>
    <x v="0"/>
  </r>
  <r>
    <x v="586"/>
    <x v="74"/>
    <x v="3"/>
    <x v="7"/>
    <x v="1"/>
    <x v="2"/>
    <x v="4"/>
    <x v="280"/>
    <x v="2"/>
    <x v="646"/>
    <x v="1"/>
  </r>
  <r>
    <x v="587"/>
    <x v="1"/>
    <x v="5"/>
    <x v="3"/>
    <x v="1"/>
    <x v="0"/>
    <x v="3"/>
    <x v="196"/>
    <x v="4"/>
    <x v="189"/>
    <x v="1"/>
  </r>
  <r>
    <x v="588"/>
    <x v="279"/>
    <x v="5"/>
    <x v="5"/>
    <x v="1"/>
    <x v="0"/>
    <x v="1"/>
    <x v="325"/>
    <x v="0"/>
    <x v="209"/>
    <x v="1"/>
  </r>
  <r>
    <x v="589"/>
    <x v="183"/>
    <x v="8"/>
    <x v="2"/>
    <x v="1"/>
    <x v="2"/>
    <x v="0"/>
    <x v="242"/>
    <x v="4"/>
    <x v="37"/>
    <x v="1"/>
  </r>
  <r>
    <x v="590"/>
    <x v="10"/>
    <x v="4"/>
    <x v="4"/>
    <x v="1"/>
    <x v="0"/>
    <x v="2"/>
    <x v="213"/>
    <x v="5"/>
    <x v="316"/>
    <x v="1"/>
  </r>
  <r>
    <x v="591"/>
    <x v="216"/>
    <x v="2"/>
    <x v="0"/>
    <x v="0"/>
    <x v="1"/>
    <x v="5"/>
    <x v="427"/>
    <x v="0"/>
    <x v="575"/>
    <x v="0"/>
  </r>
  <r>
    <x v="592"/>
    <x v="181"/>
    <x v="8"/>
    <x v="2"/>
    <x v="1"/>
    <x v="3"/>
    <x v="0"/>
    <x v="908"/>
    <x v="5"/>
    <x v="843"/>
    <x v="1"/>
  </r>
  <r>
    <x v="593"/>
    <x v="108"/>
    <x v="0"/>
    <x v="5"/>
    <x v="1"/>
    <x v="1"/>
    <x v="5"/>
    <x v="508"/>
    <x v="1"/>
    <x v="667"/>
    <x v="1"/>
  </r>
  <r>
    <x v="594"/>
    <x v="19"/>
    <x v="0"/>
    <x v="5"/>
    <x v="1"/>
    <x v="3"/>
    <x v="6"/>
    <x v="180"/>
    <x v="4"/>
    <x v="449"/>
    <x v="1"/>
  </r>
  <r>
    <x v="595"/>
    <x v="242"/>
    <x v="0"/>
    <x v="5"/>
    <x v="1"/>
    <x v="2"/>
    <x v="2"/>
    <x v="83"/>
    <x v="4"/>
    <x v="943"/>
    <x v="1"/>
  </r>
  <r>
    <x v="596"/>
    <x v="270"/>
    <x v="6"/>
    <x v="2"/>
    <x v="1"/>
    <x v="1"/>
    <x v="2"/>
    <x v="690"/>
    <x v="3"/>
    <x v="713"/>
    <x v="1"/>
  </r>
  <r>
    <x v="597"/>
    <x v="237"/>
    <x v="0"/>
    <x v="1"/>
    <x v="0"/>
    <x v="2"/>
    <x v="1"/>
    <x v="389"/>
    <x v="2"/>
    <x v="919"/>
    <x v="0"/>
  </r>
  <r>
    <x v="598"/>
    <x v="205"/>
    <x v="4"/>
    <x v="5"/>
    <x v="1"/>
    <x v="2"/>
    <x v="1"/>
    <x v="823"/>
    <x v="0"/>
    <x v="542"/>
    <x v="1"/>
  </r>
  <r>
    <x v="599"/>
    <x v="209"/>
    <x v="2"/>
    <x v="7"/>
    <x v="1"/>
    <x v="3"/>
    <x v="0"/>
    <x v="646"/>
    <x v="0"/>
    <x v="252"/>
    <x v="1"/>
  </r>
  <r>
    <x v="600"/>
    <x v="48"/>
    <x v="1"/>
    <x v="2"/>
    <x v="1"/>
    <x v="3"/>
    <x v="6"/>
    <x v="795"/>
    <x v="3"/>
    <x v="48"/>
    <x v="1"/>
  </r>
  <r>
    <x v="601"/>
    <x v="329"/>
    <x v="3"/>
    <x v="0"/>
    <x v="0"/>
    <x v="3"/>
    <x v="5"/>
    <x v="283"/>
    <x v="3"/>
    <x v="719"/>
    <x v="0"/>
  </r>
  <r>
    <x v="602"/>
    <x v="317"/>
    <x v="4"/>
    <x v="5"/>
    <x v="1"/>
    <x v="1"/>
    <x v="6"/>
    <x v="685"/>
    <x v="2"/>
    <x v="109"/>
    <x v="1"/>
  </r>
  <r>
    <x v="603"/>
    <x v="338"/>
    <x v="4"/>
    <x v="7"/>
    <x v="1"/>
    <x v="0"/>
    <x v="2"/>
    <x v="269"/>
    <x v="5"/>
    <x v="291"/>
    <x v="1"/>
  </r>
  <r>
    <x v="604"/>
    <x v="258"/>
    <x v="6"/>
    <x v="1"/>
    <x v="0"/>
    <x v="3"/>
    <x v="0"/>
    <x v="936"/>
    <x v="2"/>
    <x v="544"/>
    <x v="0"/>
  </r>
  <r>
    <x v="605"/>
    <x v="73"/>
    <x v="1"/>
    <x v="3"/>
    <x v="1"/>
    <x v="3"/>
    <x v="3"/>
    <x v="628"/>
    <x v="4"/>
    <x v="577"/>
    <x v="1"/>
  </r>
  <r>
    <x v="606"/>
    <x v="188"/>
    <x v="1"/>
    <x v="1"/>
    <x v="0"/>
    <x v="1"/>
    <x v="0"/>
    <x v="332"/>
    <x v="5"/>
    <x v="617"/>
    <x v="0"/>
  </r>
  <r>
    <x v="607"/>
    <x v="146"/>
    <x v="3"/>
    <x v="0"/>
    <x v="0"/>
    <x v="3"/>
    <x v="4"/>
    <x v="278"/>
    <x v="1"/>
    <x v="153"/>
    <x v="0"/>
  </r>
  <r>
    <x v="608"/>
    <x v="109"/>
    <x v="3"/>
    <x v="5"/>
    <x v="1"/>
    <x v="1"/>
    <x v="0"/>
    <x v="184"/>
    <x v="2"/>
    <x v="383"/>
    <x v="1"/>
  </r>
  <r>
    <x v="609"/>
    <x v="53"/>
    <x v="1"/>
    <x v="0"/>
    <x v="0"/>
    <x v="2"/>
    <x v="6"/>
    <x v="689"/>
    <x v="3"/>
    <x v="634"/>
    <x v="0"/>
  </r>
  <r>
    <x v="610"/>
    <x v="199"/>
    <x v="0"/>
    <x v="2"/>
    <x v="1"/>
    <x v="3"/>
    <x v="4"/>
    <x v="217"/>
    <x v="5"/>
    <x v="966"/>
    <x v="1"/>
  </r>
  <r>
    <x v="611"/>
    <x v="117"/>
    <x v="4"/>
    <x v="6"/>
    <x v="1"/>
    <x v="3"/>
    <x v="4"/>
    <x v="586"/>
    <x v="2"/>
    <x v="720"/>
    <x v="1"/>
  </r>
  <r>
    <x v="612"/>
    <x v="207"/>
    <x v="8"/>
    <x v="5"/>
    <x v="1"/>
    <x v="2"/>
    <x v="4"/>
    <x v="271"/>
    <x v="0"/>
    <x v="912"/>
    <x v="1"/>
  </r>
  <r>
    <x v="613"/>
    <x v="193"/>
    <x v="3"/>
    <x v="6"/>
    <x v="1"/>
    <x v="2"/>
    <x v="3"/>
    <x v="651"/>
    <x v="1"/>
    <x v="759"/>
    <x v="1"/>
  </r>
  <r>
    <x v="614"/>
    <x v="105"/>
    <x v="6"/>
    <x v="7"/>
    <x v="1"/>
    <x v="2"/>
    <x v="0"/>
    <x v="817"/>
    <x v="4"/>
    <x v="606"/>
    <x v="1"/>
  </r>
  <r>
    <x v="615"/>
    <x v="193"/>
    <x v="6"/>
    <x v="3"/>
    <x v="1"/>
    <x v="3"/>
    <x v="6"/>
    <x v="778"/>
    <x v="0"/>
    <x v="182"/>
    <x v="1"/>
  </r>
  <r>
    <x v="616"/>
    <x v="13"/>
    <x v="3"/>
    <x v="4"/>
    <x v="1"/>
    <x v="0"/>
    <x v="0"/>
    <x v="763"/>
    <x v="0"/>
    <x v="666"/>
    <x v="1"/>
  </r>
  <r>
    <x v="617"/>
    <x v="8"/>
    <x v="1"/>
    <x v="0"/>
    <x v="0"/>
    <x v="0"/>
    <x v="3"/>
    <x v="179"/>
    <x v="1"/>
    <x v="637"/>
    <x v="0"/>
  </r>
  <r>
    <x v="618"/>
    <x v="36"/>
    <x v="2"/>
    <x v="1"/>
    <x v="0"/>
    <x v="0"/>
    <x v="2"/>
    <x v="94"/>
    <x v="4"/>
    <x v="620"/>
    <x v="0"/>
  </r>
  <r>
    <x v="619"/>
    <x v="219"/>
    <x v="8"/>
    <x v="3"/>
    <x v="1"/>
    <x v="3"/>
    <x v="1"/>
    <x v="694"/>
    <x v="3"/>
    <x v="506"/>
    <x v="1"/>
  </r>
  <r>
    <x v="620"/>
    <x v="259"/>
    <x v="8"/>
    <x v="5"/>
    <x v="1"/>
    <x v="2"/>
    <x v="6"/>
    <x v="372"/>
    <x v="5"/>
    <x v="543"/>
    <x v="1"/>
  </r>
  <r>
    <x v="621"/>
    <x v="333"/>
    <x v="3"/>
    <x v="6"/>
    <x v="1"/>
    <x v="3"/>
    <x v="6"/>
    <x v="435"/>
    <x v="4"/>
    <x v="329"/>
    <x v="1"/>
  </r>
  <r>
    <x v="622"/>
    <x v="187"/>
    <x v="0"/>
    <x v="1"/>
    <x v="0"/>
    <x v="2"/>
    <x v="0"/>
    <x v="32"/>
    <x v="2"/>
    <x v="536"/>
    <x v="0"/>
  </r>
  <r>
    <x v="623"/>
    <x v="228"/>
    <x v="2"/>
    <x v="6"/>
    <x v="1"/>
    <x v="3"/>
    <x v="1"/>
    <x v="265"/>
    <x v="0"/>
    <x v="191"/>
    <x v="1"/>
  </r>
  <r>
    <x v="624"/>
    <x v="257"/>
    <x v="8"/>
    <x v="2"/>
    <x v="1"/>
    <x v="3"/>
    <x v="5"/>
    <x v="34"/>
    <x v="2"/>
    <x v="800"/>
    <x v="1"/>
  </r>
  <r>
    <x v="625"/>
    <x v="217"/>
    <x v="3"/>
    <x v="6"/>
    <x v="1"/>
    <x v="2"/>
    <x v="5"/>
    <x v="882"/>
    <x v="3"/>
    <x v="175"/>
    <x v="1"/>
  </r>
  <r>
    <x v="626"/>
    <x v="3"/>
    <x v="6"/>
    <x v="2"/>
    <x v="1"/>
    <x v="0"/>
    <x v="3"/>
    <x v="247"/>
    <x v="2"/>
    <x v="78"/>
    <x v="1"/>
  </r>
  <r>
    <x v="627"/>
    <x v="142"/>
    <x v="8"/>
    <x v="7"/>
    <x v="1"/>
    <x v="2"/>
    <x v="5"/>
    <x v="546"/>
    <x v="4"/>
    <x v="450"/>
    <x v="1"/>
  </r>
  <r>
    <x v="628"/>
    <x v="26"/>
    <x v="5"/>
    <x v="1"/>
    <x v="0"/>
    <x v="1"/>
    <x v="6"/>
    <x v="40"/>
    <x v="2"/>
    <x v="659"/>
    <x v="0"/>
  </r>
  <r>
    <x v="629"/>
    <x v="99"/>
    <x v="2"/>
    <x v="1"/>
    <x v="0"/>
    <x v="1"/>
    <x v="5"/>
    <x v="658"/>
    <x v="3"/>
    <x v="451"/>
    <x v="0"/>
  </r>
  <r>
    <x v="630"/>
    <x v="89"/>
    <x v="2"/>
    <x v="4"/>
    <x v="1"/>
    <x v="2"/>
    <x v="2"/>
    <x v="331"/>
    <x v="3"/>
    <x v="263"/>
    <x v="1"/>
  </r>
  <r>
    <x v="631"/>
    <x v="199"/>
    <x v="5"/>
    <x v="5"/>
    <x v="1"/>
    <x v="3"/>
    <x v="2"/>
    <x v="902"/>
    <x v="3"/>
    <x v="573"/>
    <x v="1"/>
  </r>
  <r>
    <x v="632"/>
    <x v="270"/>
    <x v="4"/>
    <x v="2"/>
    <x v="1"/>
    <x v="1"/>
    <x v="2"/>
    <x v="891"/>
    <x v="4"/>
    <x v="351"/>
    <x v="1"/>
  </r>
  <r>
    <x v="633"/>
    <x v="68"/>
    <x v="6"/>
    <x v="4"/>
    <x v="1"/>
    <x v="1"/>
    <x v="5"/>
    <x v="333"/>
    <x v="3"/>
    <x v="923"/>
    <x v="1"/>
  </r>
  <r>
    <x v="634"/>
    <x v="301"/>
    <x v="5"/>
    <x v="6"/>
    <x v="1"/>
    <x v="3"/>
    <x v="3"/>
    <x v="903"/>
    <x v="0"/>
    <x v="913"/>
    <x v="1"/>
  </r>
  <r>
    <x v="635"/>
    <x v="134"/>
    <x v="1"/>
    <x v="6"/>
    <x v="1"/>
    <x v="3"/>
    <x v="4"/>
    <x v="992"/>
    <x v="3"/>
    <x v="514"/>
    <x v="1"/>
  </r>
  <r>
    <x v="636"/>
    <x v="117"/>
    <x v="1"/>
    <x v="4"/>
    <x v="1"/>
    <x v="0"/>
    <x v="4"/>
    <x v="827"/>
    <x v="2"/>
    <x v="321"/>
    <x v="1"/>
  </r>
  <r>
    <x v="637"/>
    <x v="316"/>
    <x v="3"/>
    <x v="1"/>
    <x v="0"/>
    <x v="3"/>
    <x v="1"/>
    <x v="850"/>
    <x v="5"/>
    <x v="729"/>
    <x v="0"/>
  </r>
  <r>
    <x v="638"/>
    <x v="38"/>
    <x v="2"/>
    <x v="6"/>
    <x v="1"/>
    <x v="2"/>
    <x v="4"/>
    <x v="254"/>
    <x v="2"/>
    <x v="29"/>
    <x v="1"/>
  </r>
  <r>
    <x v="639"/>
    <x v="330"/>
    <x v="4"/>
    <x v="0"/>
    <x v="0"/>
    <x v="2"/>
    <x v="4"/>
    <x v="563"/>
    <x v="5"/>
    <x v="486"/>
    <x v="0"/>
  </r>
  <r>
    <x v="640"/>
    <x v="37"/>
    <x v="4"/>
    <x v="7"/>
    <x v="1"/>
    <x v="0"/>
    <x v="2"/>
    <x v="68"/>
    <x v="2"/>
    <x v="333"/>
    <x v="1"/>
  </r>
  <r>
    <x v="641"/>
    <x v="30"/>
    <x v="8"/>
    <x v="7"/>
    <x v="1"/>
    <x v="1"/>
    <x v="2"/>
    <x v="100"/>
    <x v="4"/>
    <x v="909"/>
    <x v="1"/>
  </r>
  <r>
    <x v="642"/>
    <x v="16"/>
    <x v="8"/>
    <x v="0"/>
    <x v="0"/>
    <x v="1"/>
    <x v="5"/>
    <x v="996"/>
    <x v="2"/>
    <x v="13"/>
    <x v="0"/>
  </r>
  <r>
    <x v="643"/>
    <x v="153"/>
    <x v="5"/>
    <x v="4"/>
    <x v="1"/>
    <x v="3"/>
    <x v="1"/>
    <x v="336"/>
    <x v="4"/>
    <x v="567"/>
    <x v="1"/>
  </r>
  <r>
    <x v="644"/>
    <x v="141"/>
    <x v="4"/>
    <x v="0"/>
    <x v="0"/>
    <x v="2"/>
    <x v="0"/>
    <x v="743"/>
    <x v="4"/>
    <x v="733"/>
    <x v="0"/>
  </r>
  <r>
    <x v="645"/>
    <x v="69"/>
    <x v="5"/>
    <x v="2"/>
    <x v="1"/>
    <x v="1"/>
    <x v="6"/>
    <x v="810"/>
    <x v="3"/>
    <x v="500"/>
    <x v="1"/>
  </r>
  <r>
    <x v="646"/>
    <x v="79"/>
    <x v="6"/>
    <x v="2"/>
    <x v="1"/>
    <x v="0"/>
    <x v="1"/>
    <x v="861"/>
    <x v="0"/>
    <x v="79"/>
    <x v="1"/>
  </r>
  <r>
    <x v="647"/>
    <x v="106"/>
    <x v="5"/>
    <x v="4"/>
    <x v="1"/>
    <x v="0"/>
    <x v="1"/>
    <x v="995"/>
    <x v="5"/>
    <x v="969"/>
    <x v="1"/>
  </r>
  <r>
    <x v="648"/>
    <x v="336"/>
    <x v="8"/>
    <x v="0"/>
    <x v="0"/>
    <x v="2"/>
    <x v="3"/>
    <x v="241"/>
    <x v="3"/>
    <x v="534"/>
    <x v="0"/>
  </r>
  <r>
    <x v="649"/>
    <x v="317"/>
    <x v="2"/>
    <x v="2"/>
    <x v="1"/>
    <x v="0"/>
    <x v="5"/>
    <x v="42"/>
    <x v="3"/>
    <x v="630"/>
    <x v="1"/>
  </r>
  <r>
    <x v="650"/>
    <x v="24"/>
    <x v="5"/>
    <x v="1"/>
    <x v="0"/>
    <x v="0"/>
    <x v="3"/>
    <x v="415"/>
    <x v="4"/>
    <x v="227"/>
    <x v="0"/>
  </r>
  <r>
    <x v="651"/>
    <x v="289"/>
    <x v="0"/>
    <x v="0"/>
    <x v="0"/>
    <x v="2"/>
    <x v="1"/>
    <x v="122"/>
    <x v="4"/>
    <x v="496"/>
    <x v="0"/>
  </r>
  <r>
    <x v="652"/>
    <x v="265"/>
    <x v="2"/>
    <x v="1"/>
    <x v="0"/>
    <x v="3"/>
    <x v="1"/>
    <x v="25"/>
    <x v="5"/>
    <x v="440"/>
    <x v="0"/>
  </r>
  <r>
    <x v="653"/>
    <x v="123"/>
    <x v="4"/>
    <x v="2"/>
    <x v="1"/>
    <x v="3"/>
    <x v="1"/>
    <x v="369"/>
    <x v="2"/>
    <x v="71"/>
    <x v="1"/>
  </r>
  <r>
    <x v="654"/>
    <x v="203"/>
    <x v="4"/>
    <x v="7"/>
    <x v="1"/>
    <x v="0"/>
    <x v="4"/>
    <x v="783"/>
    <x v="2"/>
    <x v="95"/>
    <x v="1"/>
  </r>
  <r>
    <x v="655"/>
    <x v="155"/>
    <x v="5"/>
    <x v="2"/>
    <x v="1"/>
    <x v="3"/>
    <x v="6"/>
    <x v="555"/>
    <x v="3"/>
    <x v="826"/>
    <x v="1"/>
  </r>
  <r>
    <x v="656"/>
    <x v="89"/>
    <x v="2"/>
    <x v="1"/>
    <x v="0"/>
    <x v="3"/>
    <x v="6"/>
    <x v="323"/>
    <x v="1"/>
    <x v="231"/>
    <x v="0"/>
  </r>
  <r>
    <x v="657"/>
    <x v="249"/>
    <x v="8"/>
    <x v="3"/>
    <x v="1"/>
    <x v="0"/>
    <x v="3"/>
    <x v="639"/>
    <x v="1"/>
    <x v="185"/>
    <x v="1"/>
  </r>
  <r>
    <x v="658"/>
    <x v="219"/>
    <x v="8"/>
    <x v="5"/>
    <x v="1"/>
    <x v="3"/>
    <x v="1"/>
    <x v="232"/>
    <x v="2"/>
    <x v="518"/>
    <x v="1"/>
  </r>
  <r>
    <x v="659"/>
    <x v="285"/>
    <x v="1"/>
    <x v="6"/>
    <x v="1"/>
    <x v="0"/>
    <x v="6"/>
    <x v="17"/>
    <x v="1"/>
    <x v="766"/>
    <x v="1"/>
  </r>
  <r>
    <x v="660"/>
    <x v="160"/>
    <x v="4"/>
    <x v="0"/>
    <x v="0"/>
    <x v="1"/>
    <x v="2"/>
    <x v="767"/>
    <x v="2"/>
    <x v="60"/>
    <x v="0"/>
  </r>
  <r>
    <x v="661"/>
    <x v="176"/>
    <x v="3"/>
    <x v="3"/>
    <x v="1"/>
    <x v="2"/>
    <x v="6"/>
    <x v="615"/>
    <x v="4"/>
    <x v="594"/>
    <x v="1"/>
  </r>
  <r>
    <x v="662"/>
    <x v="111"/>
    <x v="1"/>
    <x v="2"/>
    <x v="1"/>
    <x v="2"/>
    <x v="5"/>
    <x v="765"/>
    <x v="3"/>
    <x v="105"/>
    <x v="1"/>
  </r>
  <r>
    <x v="663"/>
    <x v="42"/>
    <x v="8"/>
    <x v="7"/>
    <x v="1"/>
    <x v="3"/>
    <x v="5"/>
    <x v="39"/>
    <x v="0"/>
    <x v="28"/>
    <x v="1"/>
  </r>
  <r>
    <x v="664"/>
    <x v="58"/>
    <x v="2"/>
    <x v="4"/>
    <x v="1"/>
    <x v="3"/>
    <x v="6"/>
    <x v="838"/>
    <x v="3"/>
    <x v="47"/>
    <x v="1"/>
  </r>
  <r>
    <x v="665"/>
    <x v="119"/>
    <x v="6"/>
    <x v="2"/>
    <x v="1"/>
    <x v="3"/>
    <x v="2"/>
    <x v="608"/>
    <x v="2"/>
    <x v="824"/>
    <x v="1"/>
  </r>
  <r>
    <x v="666"/>
    <x v="286"/>
    <x v="8"/>
    <x v="7"/>
    <x v="1"/>
    <x v="2"/>
    <x v="5"/>
    <x v="550"/>
    <x v="2"/>
    <x v="103"/>
    <x v="1"/>
  </r>
  <r>
    <x v="667"/>
    <x v="337"/>
    <x v="2"/>
    <x v="5"/>
    <x v="1"/>
    <x v="1"/>
    <x v="4"/>
    <x v="617"/>
    <x v="3"/>
    <x v="39"/>
    <x v="1"/>
  </r>
  <r>
    <x v="668"/>
    <x v="179"/>
    <x v="1"/>
    <x v="2"/>
    <x v="1"/>
    <x v="1"/>
    <x v="6"/>
    <x v="869"/>
    <x v="5"/>
    <x v="452"/>
    <x v="1"/>
  </r>
  <r>
    <x v="669"/>
    <x v="283"/>
    <x v="4"/>
    <x v="1"/>
    <x v="0"/>
    <x v="2"/>
    <x v="4"/>
    <x v="577"/>
    <x v="2"/>
    <x v="830"/>
    <x v="0"/>
  </r>
  <r>
    <x v="670"/>
    <x v="167"/>
    <x v="8"/>
    <x v="4"/>
    <x v="1"/>
    <x v="1"/>
    <x v="6"/>
    <x v="570"/>
    <x v="1"/>
    <x v="256"/>
    <x v="1"/>
  </r>
  <r>
    <x v="671"/>
    <x v="269"/>
    <x v="5"/>
    <x v="7"/>
    <x v="1"/>
    <x v="2"/>
    <x v="0"/>
    <x v="988"/>
    <x v="1"/>
    <x v="432"/>
    <x v="1"/>
  </r>
  <r>
    <x v="672"/>
    <x v="260"/>
    <x v="2"/>
    <x v="7"/>
    <x v="1"/>
    <x v="1"/>
    <x v="0"/>
    <x v="755"/>
    <x v="2"/>
    <x v="35"/>
    <x v="1"/>
  </r>
  <r>
    <x v="673"/>
    <x v="26"/>
    <x v="4"/>
    <x v="7"/>
    <x v="1"/>
    <x v="0"/>
    <x v="0"/>
    <x v="448"/>
    <x v="2"/>
    <x v="463"/>
    <x v="1"/>
  </r>
  <r>
    <x v="674"/>
    <x v="137"/>
    <x v="6"/>
    <x v="5"/>
    <x v="1"/>
    <x v="0"/>
    <x v="5"/>
    <x v="706"/>
    <x v="5"/>
    <x v="596"/>
    <x v="1"/>
  </r>
  <r>
    <x v="675"/>
    <x v="248"/>
    <x v="6"/>
    <x v="2"/>
    <x v="1"/>
    <x v="2"/>
    <x v="4"/>
    <x v="394"/>
    <x v="1"/>
    <x v="585"/>
    <x v="1"/>
  </r>
  <r>
    <x v="676"/>
    <x v="273"/>
    <x v="3"/>
    <x v="5"/>
    <x v="1"/>
    <x v="1"/>
    <x v="4"/>
    <x v="227"/>
    <x v="2"/>
    <x v="326"/>
    <x v="1"/>
  </r>
  <r>
    <x v="677"/>
    <x v="10"/>
    <x v="2"/>
    <x v="0"/>
    <x v="0"/>
    <x v="3"/>
    <x v="4"/>
    <x v="587"/>
    <x v="2"/>
    <x v="998"/>
    <x v="0"/>
  </r>
  <r>
    <x v="678"/>
    <x v="152"/>
    <x v="1"/>
    <x v="6"/>
    <x v="1"/>
    <x v="1"/>
    <x v="2"/>
    <x v="926"/>
    <x v="5"/>
    <x v="96"/>
    <x v="1"/>
  </r>
  <r>
    <x v="679"/>
    <x v="103"/>
    <x v="3"/>
    <x v="6"/>
    <x v="1"/>
    <x v="0"/>
    <x v="4"/>
    <x v="928"/>
    <x v="5"/>
    <x v="369"/>
    <x v="1"/>
  </r>
  <r>
    <x v="680"/>
    <x v="173"/>
    <x v="3"/>
    <x v="0"/>
    <x v="0"/>
    <x v="0"/>
    <x v="2"/>
    <x v="349"/>
    <x v="3"/>
    <x v="92"/>
    <x v="0"/>
  </r>
  <r>
    <x v="681"/>
    <x v="272"/>
    <x v="0"/>
    <x v="2"/>
    <x v="1"/>
    <x v="1"/>
    <x v="0"/>
    <x v="523"/>
    <x v="5"/>
    <x v="765"/>
    <x v="1"/>
  </r>
  <r>
    <x v="682"/>
    <x v="214"/>
    <x v="8"/>
    <x v="1"/>
    <x v="0"/>
    <x v="1"/>
    <x v="0"/>
    <x v="210"/>
    <x v="0"/>
    <x v="959"/>
    <x v="0"/>
  </r>
  <r>
    <x v="683"/>
    <x v="210"/>
    <x v="2"/>
    <x v="5"/>
    <x v="1"/>
    <x v="3"/>
    <x v="5"/>
    <x v="991"/>
    <x v="1"/>
    <x v="967"/>
    <x v="1"/>
  </r>
  <r>
    <x v="684"/>
    <x v="286"/>
    <x v="3"/>
    <x v="4"/>
    <x v="1"/>
    <x v="3"/>
    <x v="6"/>
    <x v="981"/>
    <x v="3"/>
    <x v="854"/>
    <x v="1"/>
  </r>
  <r>
    <x v="685"/>
    <x v="89"/>
    <x v="0"/>
    <x v="7"/>
    <x v="1"/>
    <x v="1"/>
    <x v="0"/>
    <x v="637"/>
    <x v="0"/>
    <x v="618"/>
    <x v="1"/>
  </r>
  <r>
    <x v="686"/>
    <x v="50"/>
    <x v="1"/>
    <x v="7"/>
    <x v="1"/>
    <x v="1"/>
    <x v="6"/>
    <x v="807"/>
    <x v="2"/>
    <x v="699"/>
    <x v="1"/>
  </r>
  <r>
    <x v="687"/>
    <x v="101"/>
    <x v="4"/>
    <x v="2"/>
    <x v="1"/>
    <x v="1"/>
    <x v="6"/>
    <x v="714"/>
    <x v="2"/>
    <x v="273"/>
    <x v="1"/>
  </r>
  <r>
    <x v="688"/>
    <x v="140"/>
    <x v="5"/>
    <x v="1"/>
    <x v="0"/>
    <x v="1"/>
    <x v="5"/>
    <x v="583"/>
    <x v="3"/>
    <x v="642"/>
    <x v="0"/>
  </r>
  <r>
    <x v="689"/>
    <x v="228"/>
    <x v="5"/>
    <x v="6"/>
    <x v="1"/>
    <x v="2"/>
    <x v="1"/>
    <x v="52"/>
    <x v="5"/>
    <x v="467"/>
    <x v="1"/>
  </r>
  <r>
    <x v="690"/>
    <x v="63"/>
    <x v="2"/>
    <x v="6"/>
    <x v="1"/>
    <x v="1"/>
    <x v="1"/>
    <x v="460"/>
    <x v="2"/>
    <x v="493"/>
    <x v="1"/>
  </r>
  <r>
    <x v="691"/>
    <x v="288"/>
    <x v="3"/>
    <x v="7"/>
    <x v="1"/>
    <x v="3"/>
    <x v="3"/>
    <x v="671"/>
    <x v="4"/>
    <x v="752"/>
    <x v="1"/>
  </r>
  <r>
    <x v="692"/>
    <x v="267"/>
    <x v="5"/>
    <x v="2"/>
    <x v="1"/>
    <x v="0"/>
    <x v="5"/>
    <x v="675"/>
    <x v="3"/>
    <x v="268"/>
    <x v="1"/>
  </r>
  <r>
    <x v="693"/>
    <x v="231"/>
    <x v="8"/>
    <x v="5"/>
    <x v="1"/>
    <x v="2"/>
    <x v="3"/>
    <x v="383"/>
    <x v="0"/>
    <x v="311"/>
    <x v="1"/>
  </r>
  <r>
    <x v="694"/>
    <x v="32"/>
    <x v="5"/>
    <x v="6"/>
    <x v="1"/>
    <x v="1"/>
    <x v="3"/>
    <x v="939"/>
    <x v="3"/>
    <x v="914"/>
    <x v="1"/>
  </r>
  <r>
    <x v="695"/>
    <x v="221"/>
    <x v="5"/>
    <x v="5"/>
    <x v="1"/>
    <x v="0"/>
    <x v="1"/>
    <x v="157"/>
    <x v="1"/>
    <x v="55"/>
    <x v="1"/>
  </r>
  <r>
    <x v="696"/>
    <x v="136"/>
    <x v="5"/>
    <x v="1"/>
    <x v="0"/>
    <x v="2"/>
    <x v="5"/>
    <x v="497"/>
    <x v="5"/>
    <x v="502"/>
    <x v="0"/>
  </r>
  <r>
    <x v="697"/>
    <x v="210"/>
    <x v="6"/>
    <x v="6"/>
    <x v="1"/>
    <x v="0"/>
    <x v="1"/>
    <x v="682"/>
    <x v="5"/>
    <x v="902"/>
    <x v="1"/>
  </r>
  <r>
    <x v="698"/>
    <x v="226"/>
    <x v="0"/>
    <x v="6"/>
    <x v="1"/>
    <x v="1"/>
    <x v="3"/>
    <x v="692"/>
    <x v="3"/>
    <x v="628"/>
    <x v="1"/>
  </r>
  <r>
    <x v="699"/>
    <x v="312"/>
    <x v="3"/>
    <x v="3"/>
    <x v="1"/>
    <x v="1"/>
    <x v="5"/>
    <x v="635"/>
    <x v="2"/>
    <x v="558"/>
    <x v="1"/>
  </r>
  <r>
    <x v="700"/>
    <x v="339"/>
    <x v="8"/>
    <x v="6"/>
    <x v="1"/>
    <x v="3"/>
    <x v="3"/>
    <x v="287"/>
    <x v="2"/>
    <x v="243"/>
    <x v="1"/>
  </r>
  <r>
    <x v="701"/>
    <x v="187"/>
    <x v="3"/>
    <x v="0"/>
    <x v="0"/>
    <x v="1"/>
    <x v="4"/>
    <x v="141"/>
    <x v="4"/>
    <x v="346"/>
    <x v="0"/>
  </r>
  <r>
    <x v="702"/>
    <x v="142"/>
    <x v="6"/>
    <x v="4"/>
    <x v="1"/>
    <x v="1"/>
    <x v="6"/>
    <x v="627"/>
    <x v="4"/>
    <x v="836"/>
    <x v="1"/>
  </r>
  <r>
    <x v="703"/>
    <x v="66"/>
    <x v="2"/>
    <x v="0"/>
    <x v="0"/>
    <x v="2"/>
    <x v="5"/>
    <x v="592"/>
    <x v="5"/>
    <x v="574"/>
    <x v="0"/>
  </r>
  <r>
    <x v="704"/>
    <x v="187"/>
    <x v="2"/>
    <x v="2"/>
    <x v="1"/>
    <x v="3"/>
    <x v="5"/>
    <x v="169"/>
    <x v="4"/>
    <x v="532"/>
    <x v="1"/>
  </r>
  <r>
    <x v="705"/>
    <x v="273"/>
    <x v="2"/>
    <x v="2"/>
    <x v="1"/>
    <x v="2"/>
    <x v="6"/>
    <x v="702"/>
    <x v="0"/>
    <x v="93"/>
    <x v="1"/>
  </r>
  <r>
    <x v="706"/>
    <x v="16"/>
    <x v="1"/>
    <x v="5"/>
    <x v="1"/>
    <x v="0"/>
    <x v="3"/>
    <x v="461"/>
    <x v="4"/>
    <x v="17"/>
    <x v="1"/>
  </r>
  <r>
    <x v="707"/>
    <x v="118"/>
    <x v="5"/>
    <x v="0"/>
    <x v="0"/>
    <x v="1"/>
    <x v="4"/>
    <x v="660"/>
    <x v="0"/>
    <x v="956"/>
    <x v="0"/>
  </r>
  <r>
    <x v="708"/>
    <x v="201"/>
    <x v="1"/>
    <x v="0"/>
    <x v="0"/>
    <x v="0"/>
    <x v="2"/>
    <x v="839"/>
    <x v="4"/>
    <x v="379"/>
    <x v="0"/>
  </r>
  <r>
    <x v="709"/>
    <x v="55"/>
    <x v="0"/>
    <x v="0"/>
    <x v="0"/>
    <x v="2"/>
    <x v="6"/>
    <x v="159"/>
    <x v="5"/>
    <x v="621"/>
    <x v="0"/>
  </r>
  <r>
    <x v="710"/>
    <x v="94"/>
    <x v="2"/>
    <x v="1"/>
    <x v="0"/>
    <x v="1"/>
    <x v="1"/>
    <x v="22"/>
    <x v="5"/>
    <x v="73"/>
    <x v="0"/>
  </r>
  <r>
    <x v="711"/>
    <x v="38"/>
    <x v="6"/>
    <x v="6"/>
    <x v="1"/>
    <x v="1"/>
    <x v="3"/>
    <x v="779"/>
    <x v="0"/>
    <x v="683"/>
    <x v="1"/>
  </r>
  <r>
    <x v="712"/>
    <x v="22"/>
    <x v="8"/>
    <x v="4"/>
    <x v="1"/>
    <x v="2"/>
    <x v="6"/>
    <x v="600"/>
    <x v="3"/>
    <x v="921"/>
    <x v="1"/>
  </r>
  <r>
    <x v="713"/>
    <x v="35"/>
    <x v="3"/>
    <x v="5"/>
    <x v="1"/>
    <x v="2"/>
    <x v="6"/>
    <x v="695"/>
    <x v="5"/>
    <x v="591"/>
    <x v="1"/>
  </r>
  <r>
    <x v="714"/>
    <x v="268"/>
    <x v="5"/>
    <x v="0"/>
    <x v="0"/>
    <x v="2"/>
    <x v="5"/>
    <x v="841"/>
    <x v="3"/>
    <x v="114"/>
    <x v="0"/>
  </r>
  <r>
    <x v="715"/>
    <x v="120"/>
    <x v="4"/>
    <x v="0"/>
    <x v="0"/>
    <x v="2"/>
    <x v="1"/>
    <x v="802"/>
    <x v="2"/>
    <x v="600"/>
    <x v="0"/>
  </r>
  <r>
    <x v="716"/>
    <x v="212"/>
    <x v="8"/>
    <x v="3"/>
    <x v="1"/>
    <x v="2"/>
    <x v="1"/>
    <x v="960"/>
    <x v="0"/>
    <x v="764"/>
    <x v="1"/>
  </r>
  <r>
    <x v="717"/>
    <x v="98"/>
    <x v="5"/>
    <x v="5"/>
    <x v="1"/>
    <x v="1"/>
    <x v="1"/>
    <x v="528"/>
    <x v="5"/>
    <x v="413"/>
    <x v="1"/>
  </r>
  <r>
    <x v="718"/>
    <x v="159"/>
    <x v="1"/>
    <x v="0"/>
    <x v="0"/>
    <x v="2"/>
    <x v="6"/>
    <x v="488"/>
    <x v="1"/>
    <x v="869"/>
    <x v="0"/>
  </r>
  <r>
    <x v="719"/>
    <x v="92"/>
    <x v="1"/>
    <x v="5"/>
    <x v="1"/>
    <x v="1"/>
    <x v="2"/>
    <x v="407"/>
    <x v="2"/>
    <x v="656"/>
    <x v="1"/>
  </r>
  <r>
    <x v="720"/>
    <x v="328"/>
    <x v="8"/>
    <x v="6"/>
    <x v="1"/>
    <x v="1"/>
    <x v="0"/>
    <x v="137"/>
    <x v="3"/>
    <x v="891"/>
    <x v="1"/>
  </r>
  <r>
    <x v="721"/>
    <x v="11"/>
    <x v="1"/>
    <x v="3"/>
    <x v="1"/>
    <x v="2"/>
    <x v="3"/>
    <x v="561"/>
    <x v="5"/>
    <x v="638"/>
    <x v="1"/>
  </r>
  <r>
    <x v="722"/>
    <x v="255"/>
    <x v="2"/>
    <x v="5"/>
    <x v="1"/>
    <x v="2"/>
    <x v="0"/>
    <x v="289"/>
    <x v="0"/>
    <x v="118"/>
    <x v="1"/>
  </r>
  <r>
    <x v="723"/>
    <x v="91"/>
    <x v="0"/>
    <x v="4"/>
    <x v="1"/>
    <x v="3"/>
    <x v="6"/>
    <x v="922"/>
    <x v="4"/>
    <x v="300"/>
    <x v="1"/>
  </r>
  <r>
    <x v="724"/>
    <x v="40"/>
    <x v="3"/>
    <x v="4"/>
    <x v="1"/>
    <x v="1"/>
    <x v="0"/>
    <x v="573"/>
    <x v="1"/>
    <x v="195"/>
    <x v="1"/>
  </r>
  <r>
    <x v="725"/>
    <x v="281"/>
    <x v="0"/>
    <x v="2"/>
    <x v="1"/>
    <x v="2"/>
    <x v="6"/>
    <x v="582"/>
    <x v="3"/>
    <x v="894"/>
    <x v="1"/>
  </r>
  <r>
    <x v="726"/>
    <x v="16"/>
    <x v="5"/>
    <x v="3"/>
    <x v="1"/>
    <x v="2"/>
    <x v="0"/>
    <x v="363"/>
    <x v="2"/>
    <x v="756"/>
    <x v="1"/>
  </r>
  <r>
    <x v="727"/>
    <x v="305"/>
    <x v="3"/>
    <x v="3"/>
    <x v="1"/>
    <x v="2"/>
    <x v="1"/>
    <x v="51"/>
    <x v="0"/>
    <x v="676"/>
    <x v="1"/>
  </r>
  <r>
    <x v="728"/>
    <x v="52"/>
    <x v="6"/>
    <x v="2"/>
    <x v="1"/>
    <x v="3"/>
    <x v="4"/>
    <x v="33"/>
    <x v="1"/>
    <x v="289"/>
    <x v="1"/>
  </r>
  <r>
    <x v="729"/>
    <x v="287"/>
    <x v="3"/>
    <x v="5"/>
    <x v="1"/>
    <x v="3"/>
    <x v="1"/>
    <x v="426"/>
    <x v="0"/>
    <x v="173"/>
    <x v="1"/>
  </r>
  <r>
    <x v="730"/>
    <x v="279"/>
    <x v="0"/>
    <x v="3"/>
    <x v="1"/>
    <x v="0"/>
    <x v="1"/>
    <x v="91"/>
    <x v="5"/>
    <x v="751"/>
    <x v="1"/>
  </r>
  <r>
    <x v="731"/>
    <x v="11"/>
    <x v="8"/>
    <x v="4"/>
    <x v="1"/>
    <x v="1"/>
    <x v="5"/>
    <x v="597"/>
    <x v="4"/>
    <x v="484"/>
    <x v="1"/>
  </r>
  <r>
    <x v="732"/>
    <x v="294"/>
    <x v="3"/>
    <x v="4"/>
    <x v="1"/>
    <x v="0"/>
    <x v="5"/>
    <x v="883"/>
    <x v="2"/>
    <x v="217"/>
    <x v="1"/>
  </r>
  <r>
    <x v="733"/>
    <x v="72"/>
    <x v="6"/>
    <x v="0"/>
    <x v="0"/>
    <x v="2"/>
    <x v="0"/>
    <x v="886"/>
    <x v="0"/>
    <x v="633"/>
    <x v="0"/>
  </r>
  <r>
    <x v="734"/>
    <x v="200"/>
    <x v="6"/>
    <x v="6"/>
    <x v="1"/>
    <x v="3"/>
    <x v="6"/>
    <x v="645"/>
    <x v="3"/>
    <x v="36"/>
    <x v="1"/>
  </r>
  <r>
    <x v="735"/>
    <x v="314"/>
    <x v="6"/>
    <x v="3"/>
    <x v="1"/>
    <x v="3"/>
    <x v="1"/>
    <x v="209"/>
    <x v="5"/>
    <x v="317"/>
    <x v="1"/>
  </r>
  <r>
    <x v="736"/>
    <x v="245"/>
    <x v="0"/>
    <x v="5"/>
    <x v="1"/>
    <x v="0"/>
    <x v="0"/>
    <x v="868"/>
    <x v="5"/>
    <x v="477"/>
    <x v="1"/>
  </r>
  <r>
    <x v="737"/>
    <x v="137"/>
    <x v="3"/>
    <x v="2"/>
    <x v="1"/>
    <x v="3"/>
    <x v="5"/>
    <x v="890"/>
    <x v="2"/>
    <x v="137"/>
    <x v="1"/>
  </r>
  <r>
    <x v="738"/>
    <x v="73"/>
    <x v="4"/>
    <x v="2"/>
    <x v="1"/>
    <x v="2"/>
    <x v="4"/>
    <x v="191"/>
    <x v="5"/>
    <x v="984"/>
    <x v="1"/>
  </r>
  <r>
    <x v="739"/>
    <x v="199"/>
    <x v="8"/>
    <x v="5"/>
    <x v="1"/>
    <x v="3"/>
    <x v="3"/>
    <x v="734"/>
    <x v="3"/>
    <x v="206"/>
    <x v="1"/>
  </r>
  <r>
    <x v="740"/>
    <x v="184"/>
    <x v="2"/>
    <x v="1"/>
    <x v="0"/>
    <x v="0"/>
    <x v="0"/>
    <x v="301"/>
    <x v="0"/>
    <x v="116"/>
    <x v="0"/>
  </r>
  <r>
    <x v="741"/>
    <x v="186"/>
    <x v="3"/>
    <x v="7"/>
    <x v="1"/>
    <x v="2"/>
    <x v="4"/>
    <x v="801"/>
    <x v="2"/>
    <x v="196"/>
    <x v="1"/>
  </r>
  <r>
    <x v="742"/>
    <x v="22"/>
    <x v="6"/>
    <x v="6"/>
    <x v="1"/>
    <x v="0"/>
    <x v="3"/>
    <x v="994"/>
    <x v="5"/>
    <x v="767"/>
    <x v="1"/>
  </r>
  <r>
    <x v="743"/>
    <x v="81"/>
    <x v="4"/>
    <x v="2"/>
    <x v="1"/>
    <x v="3"/>
    <x v="2"/>
    <x v="29"/>
    <x v="5"/>
    <x v="435"/>
    <x v="1"/>
  </r>
  <r>
    <x v="744"/>
    <x v="249"/>
    <x v="2"/>
    <x v="3"/>
    <x v="1"/>
    <x v="0"/>
    <x v="0"/>
    <x v="901"/>
    <x v="3"/>
    <x v="579"/>
    <x v="1"/>
  </r>
  <r>
    <x v="745"/>
    <x v="131"/>
    <x v="2"/>
    <x v="6"/>
    <x v="1"/>
    <x v="0"/>
    <x v="0"/>
    <x v="612"/>
    <x v="4"/>
    <x v="19"/>
    <x v="1"/>
  </r>
  <r>
    <x v="746"/>
    <x v="53"/>
    <x v="5"/>
    <x v="3"/>
    <x v="1"/>
    <x v="1"/>
    <x v="2"/>
    <x v="975"/>
    <x v="4"/>
    <x v="26"/>
    <x v="1"/>
  </r>
  <r>
    <x v="747"/>
    <x v="339"/>
    <x v="3"/>
    <x v="1"/>
    <x v="0"/>
    <x v="3"/>
    <x v="2"/>
    <x v="469"/>
    <x v="5"/>
    <x v="461"/>
    <x v="0"/>
  </r>
  <r>
    <x v="748"/>
    <x v="23"/>
    <x v="0"/>
    <x v="4"/>
    <x v="1"/>
    <x v="3"/>
    <x v="0"/>
    <x v="852"/>
    <x v="0"/>
    <x v="811"/>
    <x v="1"/>
  </r>
  <r>
    <x v="749"/>
    <x v="43"/>
    <x v="3"/>
    <x v="6"/>
    <x v="1"/>
    <x v="0"/>
    <x v="2"/>
    <x v="59"/>
    <x v="2"/>
    <x v="875"/>
    <x v="1"/>
  </r>
  <r>
    <x v="750"/>
    <x v="266"/>
    <x v="4"/>
    <x v="0"/>
    <x v="0"/>
    <x v="1"/>
    <x v="1"/>
    <x v="344"/>
    <x v="5"/>
    <x v="80"/>
    <x v="0"/>
  </r>
  <r>
    <x v="751"/>
    <x v="247"/>
    <x v="2"/>
    <x v="2"/>
    <x v="1"/>
    <x v="3"/>
    <x v="3"/>
    <x v="67"/>
    <x v="1"/>
    <x v="551"/>
    <x v="1"/>
  </r>
  <r>
    <x v="752"/>
    <x v="15"/>
    <x v="3"/>
    <x v="6"/>
    <x v="1"/>
    <x v="2"/>
    <x v="3"/>
    <x v="976"/>
    <x v="2"/>
    <x v="904"/>
    <x v="1"/>
  </r>
  <r>
    <x v="753"/>
    <x v="185"/>
    <x v="0"/>
    <x v="6"/>
    <x v="1"/>
    <x v="0"/>
    <x v="3"/>
    <x v="819"/>
    <x v="4"/>
    <x v="392"/>
    <x v="1"/>
  </r>
  <r>
    <x v="754"/>
    <x v="260"/>
    <x v="5"/>
    <x v="6"/>
    <x v="1"/>
    <x v="3"/>
    <x v="1"/>
    <x v="856"/>
    <x v="5"/>
    <x v="821"/>
    <x v="1"/>
  </r>
  <r>
    <x v="755"/>
    <x v="78"/>
    <x v="3"/>
    <x v="7"/>
    <x v="1"/>
    <x v="2"/>
    <x v="6"/>
    <x v="935"/>
    <x v="3"/>
    <x v="123"/>
    <x v="1"/>
  </r>
  <r>
    <x v="756"/>
    <x v="231"/>
    <x v="8"/>
    <x v="6"/>
    <x v="1"/>
    <x v="3"/>
    <x v="2"/>
    <x v="92"/>
    <x v="1"/>
    <x v="926"/>
    <x v="1"/>
  </r>
  <r>
    <x v="757"/>
    <x v="251"/>
    <x v="5"/>
    <x v="3"/>
    <x v="1"/>
    <x v="2"/>
    <x v="4"/>
    <x v="391"/>
    <x v="5"/>
    <x v="747"/>
    <x v="1"/>
  </r>
  <r>
    <x v="758"/>
    <x v="310"/>
    <x v="0"/>
    <x v="4"/>
    <x v="1"/>
    <x v="0"/>
    <x v="2"/>
    <x v="76"/>
    <x v="0"/>
    <x v="931"/>
    <x v="1"/>
  </r>
  <r>
    <x v="759"/>
    <x v="106"/>
    <x v="4"/>
    <x v="1"/>
    <x v="0"/>
    <x v="3"/>
    <x v="0"/>
    <x v="208"/>
    <x v="1"/>
    <x v="677"/>
    <x v="0"/>
  </r>
  <r>
    <x v="760"/>
    <x v="6"/>
    <x v="2"/>
    <x v="5"/>
    <x v="1"/>
    <x v="3"/>
    <x v="5"/>
    <x v="228"/>
    <x v="5"/>
    <x v="368"/>
    <x v="1"/>
  </r>
  <r>
    <x v="761"/>
    <x v="125"/>
    <x v="3"/>
    <x v="6"/>
    <x v="1"/>
    <x v="1"/>
    <x v="3"/>
    <x v="473"/>
    <x v="0"/>
    <x v="928"/>
    <x v="1"/>
  </r>
  <r>
    <x v="762"/>
    <x v="162"/>
    <x v="0"/>
    <x v="2"/>
    <x v="1"/>
    <x v="0"/>
    <x v="2"/>
    <x v="276"/>
    <x v="1"/>
    <x v="262"/>
    <x v="1"/>
  </r>
  <r>
    <x v="763"/>
    <x v="303"/>
    <x v="5"/>
    <x v="6"/>
    <x v="1"/>
    <x v="2"/>
    <x v="4"/>
    <x v="102"/>
    <x v="0"/>
    <x v="325"/>
    <x v="1"/>
  </r>
  <r>
    <x v="764"/>
    <x v="291"/>
    <x v="8"/>
    <x v="2"/>
    <x v="1"/>
    <x v="3"/>
    <x v="0"/>
    <x v="158"/>
    <x v="0"/>
    <x v="698"/>
    <x v="1"/>
  </r>
  <r>
    <x v="765"/>
    <x v="199"/>
    <x v="0"/>
    <x v="3"/>
    <x v="1"/>
    <x v="3"/>
    <x v="1"/>
    <x v="132"/>
    <x v="1"/>
    <x v="762"/>
    <x v="1"/>
  </r>
  <r>
    <x v="766"/>
    <x v="74"/>
    <x v="1"/>
    <x v="2"/>
    <x v="1"/>
    <x v="2"/>
    <x v="6"/>
    <x v="973"/>
    <x v="1"/>
    <x v="918"/>
    <x v="1"/>
  </r>
  <r>
    <x v="767"/>
    <x v="206"/>
    <x v="6"/>
    <x v="0"/>
    <x v="0"/>
    <x v="0"/>
    <x v="1"/>
    <x v="761"/>
    <x v="0"/>
    <x v="201"/>
    <x v="0"/>
  </r>
  <r>
    <x v="768"/>
    <x v="93"/>
    <x v="8"/>
    <x v="5"/>
    <x v="1"/>
    <x v="1"/>
    <x v="4"/>
    <x v="966"/>
    <x v="4"/>
    <x v="791"/>
    <x v="1"/>
  </r>
  <r>
    <x v="769"/>
    <x v="253"/>
    <x v="5"/>
    <x v="4"/>
    <x v="1"/>
    <x v="1"/>
    <x v="0"/>
    <x v="447"/>
    <x v="1"/>
    <x v="731"/>
    <x v="1"/>
  </r>
  <r>
    <x v="770"/>
    <x v="13"/>
    <x v="4"/>
    <x v="2"/>
    <x v="1"/>
    <x v="3"/>
    <x v="3"/>
    <x v="292"/>
    <x v="5"/>
    <x v="62"/>
    <x v="1"/>
  </r>
  <r>
    <x v="771"/>
    <x v="147"/>
    <x v="2"/>
    <x v="2"/>
    <x v="1"/>
    <x v="2"/>
    <x v="2"/>
    <x v="798"/>
    <x v="2"/>
    <x v="391"/>
    <x v="1"/>
  </r>
  <r>
    <x v="772"/>
    <x v="140"/>
    <x v="5"/>
    <x v="4"/>
    <x v="1"/>
    <x v="3"/>
    <x v="0"/>
    <x v="335"/>
    <x v="3"/>
    <x v="270"/>
    <x v="1"/>
  </r>
  <r>
    <x v="773"/>
    <x v="98"/>
    <x v="6"/>
    <x v="5"/>
    <x v="1"/>
    <x v="2"/>
    <x v="6"/>
    <x v="311"/>
    <x v="0"/>
    <x v="294"/>
    <x v="1"/>
  </r>
  <r>
    <x v="774"/>
    <x v="174"/>
    <x v="4"/>
    <x v="6"/>
    <x v="1"/>
    <x v="1"/>
    <x v="1"/>
    <x v="233"/>
    <x v="0"/>
    <x v="981"/>
    <x v="1"/>
  </r>
  <r>
    <x v="775"/>
    <x v="277"/>
    <x v="3"/>
    <x v="2"/>
    <x v="1"/>
    <x v="0"/>
    <x v="6"/>
    <x v="121"/>
    <x v="3"/>
    <x v="648"/>
    <x v="1"/>
  </r>
  <r>
    <x v="776"/>
    <x v="89"/>
    <x v="0"/>
    <x v="4"/>
    <x v="1"/>
    <x v="2"/>
    <x v="6"/>
    <x v="262"/>
    <x v="4"/>
    <x v="710"/>
    <x v="1"/>
  </r>
  <r>
    <x v="777"/>
    <x v="120"/>
    <x v="1"/>
    <x v="0"/>
    <x v="0"/>
    <x v="1"/>
    <x v="4"/>
    <x v="364"/>
    <x v="3"/>
    <x v="974"/>
    <x v="0"/>
  </r>
  <r>
    <x v="778"/>
    <x v="270"/>
    <x v="8"/>
    <x v="0"/>
    <x v="0"/>
    <x v="3"/>
    <x v="4"/>
    <x v="669"/>
    <x v="1"/>
    <x v="381"/>
    <x v="0"/>
  </r>
  <r>
    <x v="779"/>
    <x v="158"/>
    <x v="8"/>
    <x v="3"/>
    <x v="1"/>
    <x v="2"/>
    <x v="2"/>
    <x v="61"/>
    <x v="3"/>
    <x v="795"/>
    <x v="1"/>
  </r>
  <r>
    <x v="780"/>
    <x v="169"/>
    <x v="0"/>
    <x v="4"/>
    <x v="1"/>
    <x v="0"/>
    <x v="4"/>
    <x v="207"/>
    <x v="0"/>
    <x v="447"/>
    <x v="1"/>
  </r>
  <r>
    <x v="781"/>
    <x v="338"/>
    <x v="1"/>
    <x v="3"/>
    <x v="1"/>
    <x v="3"/>
    <x v="4"/>
    <x v="814"/>
    <x v="3"/>
    <x v="859"/>
    <x v="1"/>
  </r>
  <r>
    <x v="782"/>
    <x v="35"/>
    <x v="0"/>
    <x v="0"/>
    <x v="0"/>
    <x v="3"/>
    <x v="0"/>
    <x v="131"/>
    <x v="2"/>
    <x v="168"/>
    <x v="0"/>
  </r>
  <r>
    <x v="783"/>
    <x v="14"/>
    <x v="3"/>
    <x v="5"/>
    <x v="1"/>
    <x v="1"/>
    <x v="3"/>
    <x v="351"/>
    <x v="5"/>
    <x v="937"/>
    <x v="1"/>
  </r>
  <r>
    <x v="784"/>
    <x v="3"/>
    <x v="6"/>
    <x v="6"/>
    <x v="1"/>
    <x v="2"/>
    <x v="2"/>
    <x v="870"/>
    <x v="1"/>
    <x v="212"/>
    <x v="1"/>
  </r>
  <r>
    <x v="785"/>
    <x v="323"/>
    <x v="4"/>
    <x v="4"/>
    <x v="1"/>
    <x v="3"/>
    <x v="0"/>
    <x v="140"/>
    <x v="3"/>
    <x v="318"/>
    <x v="1"/>
  </r>
  <r>
    <x v="786"/>
    <x v="194"/>
    <x v="5"/>
    <x v="1"/>
    <x v="0"/>
    <x v="0"/>
    <x v="3"/>
    <x v="89"/>
    <x v="0"/>
    <x v="750"/>
    <x v="0"/>
  </r>
  <r>
    <x v="787"/>
    <x v="149"/>
    <x v="8"/>
    <x v="0"/>
    <x v="0"/>
    <x v="2"/>
    <x v="6"/>
    <x v="483"/>
    <x v="5"/>
    <x v="400"/>
    <x v="0"/>
  </r>
  <r>
    <x v="788"/>
    <x v="15"/>
    <x v="3"/>
    <x v="0"/>
    <x v="0"/>
    <x v="0"/>
    <x v="0"/>
    <x v="313"/>
    <x v="1"/>
    <x v="625"/>
    <x v="0"/>
  </r>
  <r>
    <x v="789"/>
    <x v="98"/>
    <x v="4"/>
    <x v="1"/>
    <x v="0"/>
    <x v="3"/>
    <x v="5"/>
    <x v="551"/>
    <x v="0"/>
    <x v="457"/>
    <x v="0"/>
  </r>
  <r>
    <x v="790"/>
    <x v="287"/>
    <x v="3"/>
    <x v="7"/>
    <x v="1"/>
    <x v="0"/>
    <x v="0"/>
    <x v="805"/>
    <x v="4"/>
    <x v="739"/>
    <x v="1"/>
  </r>
  <r>
    <x v="791"/>
    <x v="210"/>
    <x v="1"/>
    <x v="0"/>
    <x v="0"/>
    <x v="1"/>
    <x v="4"/>
    <x v="125"/>
    <x v="2"/>
    <x v="221"/>
    <x v="0"/>
  </r>
  <r>
    <x v="792"/>
    <x v="157"/>
    <x v="8"/>
    <x v="2"/>
    <x v="1"/>
    <x v="0"/>
    <x v="3"/>
    <x v="569"/>
    <x v="4"/>
    <x v="57"/>
    <x v="1"/>
  </r>
  <r>
    <x v="793"/>
    <x v="30"/>
    <x v="5"/>
    <x v="5"/>
    <x v="1"/>
    <x v="2"/>
    <x v="2"/>
    <x v="504"/>
    <x v="2"/>
    <x v="288"/>
    <x v="1"/>
  </r>
  <r>
    <x v="794"/>
    <x v="232"/>
    <x v="0"/>
    <x v="4"/>
    <x v="1"/>
    <x v="0"/>
    <x v="2"/>
    <x v="130"/>
    <x v="3"/>
    <x v="485"/>
    <x v="1"/>
  </r>
  <r>
    <x v="795"/>
    <x v="229"/>
    <x v="0"/>
    <x v="1"/>
    <x v="0"/>
    <x v="0"/>
    <x v="3"/>
    <x v="616"/>
    <x v="1"/>
    <x v="156"/>
    <x v="0"/>
  </r>
  <r>
    <x v="796"/>
    <x v="250"/>
    <x v="4"/>
    <x v="2"/>
    <x v="1"/>
    <x v="1"/>
    <x v="4"/>
    <x v="284"/>
    <x v="3"/>
    <x v="358"/>
    <x v="1"/>
  </r>
  <r>
    <x v="797"/>
    <x v="129"/>
    <x v="5"/>
    <x v="1"/>
    <x v="0"/>
    <x v="0"/>
    <x v="1"/>
    <x v="487"/>
    <x v="2"/>
    <x v="405"/>
    <x v="0"/>
  </r>
  <r>
    <x v="798"/>
    <x v="254"/>
    <x v="6"/>
    <x v="4"/>
    <x v="1"/>
    <x v="0"/>
    <x v="0"/>
    <x v="88"/>
    <x v="2"/>
    <x v="56"/>
    <x v="1"/>
  </r>
  <r>
    <x v="799"/>
    <x v="87"/>
    <x v="2"/>
    <x v="3"/>
    <x v="1"/>
    <x v="3"/>
    <x v="4"/>
    <x v="465"/>
    <x v="2"/>
    <x v="603"/>
    <x v="1"/>
  </r>
  <r>
    <x v="800"/>
    <x v="210"/>
    <x v="1"/>
    <x v="4"/>
    <x v="1"/>
    <x v="3"/>
    <x v="5"/>
    <x v="317"/>
    <x v="5"/>
    <x v="873"/>
    <x v="1"/>
  </r>
  <r>
    <x v="801"/>
    <x v="35"/>
    <x v="4"/>
    <x v="7"/>
    <x v="1"/>
    <x v="2"/>
    <x v="6"/>
    <x v="824"/>
    <x v="0"/>
    <x v="139"/>
    <x v="1"/>
  </r>
  <r>
    <x v="802"/>
    <x v="278"/>
    <x v="2"/>
    <x v="4"/>
    <x v="1"/>
    <x v="3"/>
    <x v="3"/>
    <x v="56"/>
    <x v="1"/>
    <x v="614"/>
    <x v="1"/>
  </r>
  <r>
    <x v="803"/>
    <x v="26"/>
    <x v="3"/>
    <x v="4"/>
    <x v="1"/>
    <x v="3"/>
    <x v="0"/>
    <x v="421"/>
    <x v="3"/>
    <x v="665"/>
    <x v="1"/>
  </r>
  <r>
    <x v="804"/>
    <x v="294"/>
    <x v="1"/>
    <x v="7"/>
    <x v="1"/>
    <x v="3"/>
    <x v="2"/>
    <x v="463"/>
    <x v="3"/>
    <x v="429"/>
    <x v="1"/>
  </r>
  <r>
    <x v="805"/>
    <x v="227"/>
    <x v="3"/>
    <x v="5"/>
    <x v="1"/>
    <x v="3"/>
    <x v="6"/>
    <x v="724"/>
    <x v="4"/>
    <x v="700"/>
    <x v="1"/>
  </r>
  <r>
    <x v="806"/>
    <x v="218"/>
    <x v="6"/>
    <x v="0"/>
    <x v="0"/>
    <x v="1"/>
    <x v="1"/>
    <x v="562"/>
    <x v="2"/>
    <x v="418"/>
    <x v="0"/>
  </r>
  <r>
    <x v="807"/>
    <x v="171"/>
    <x v="5"/>
    <x v="4"/>
    <x v="1"/>
    <x v="3"/>
    <x v="5"/>
    <x v="659"/>
    <x v="2"/>
    <x v="517"/>
    <x v="1"/>
  </r>
  <r>
    <x v="808"/>
    <x v="252"/>
    <x v="8"/>
    <x v="7"/>
    <x v="1"/>
    <x v="1"/>
    <x v="2"/>
    <x v="777"/>
    <x v="2"/>
    <x v="8"/>
    <x v="1"/>
  </r>
  <r>
    <x v="809"/>
    <x v="218"/>
    <x v="1"/>
    <x v="2"/>
    <x v="1"/>
    <x v="1"/>
    <x v="3"/>
    <x v="866"/>
    <x v="3"/>
    <x v="690"/>
    <x v="1"/>
  </r>
  <r>
    <x v="810"/>
    <x v="221"/>
    <x v="2"/>
    <x v="3"/>
    <x v="1"/>
    <x v="3"/>
    <x v="0"/>
    <x v="326"/>
    <x v="4"/>
    <x v="660"/>
    <x v="1"/>
  </r>
  <r>
    <x v="811"/>
    <x v="247"/>
    <x v="6"/>
    <x v="3"/>
    <x v="1"/>
    <x v="0"/>
    <x v="3"/>
    <x v="529"/>
    <x v="0"/>
    <x v="30"/>
    <x v="1"/>
  </r>
  <r>
    <x v="812"/>
    <x v="333"/>
    <x v="8"/>
    <x v="4"/>
    <x v="1"/>
    <x v="1"/>
    <x v="6"/>
    <x v="847"/>
    <x v="5"/>
    <x v="370"/>
    <x v="1"/>
  </r>
  <r>
    <x v="813"/>
    <x v="315"/>
    <x v="0"/>
    <x v="5"/>
    <x v="1"/>
    <x v="0"/>
    <x v="0"/>
    <x v="986"/>
    <x v="1"/>
    <x v="978"/>
    <x v="1"/>
  </r>
  <r>
    <x v="814"/>
    <x v="59"/>
    <x v="2"/>
    <x v="5"/>
    <x v="1"/>
    <x v="0"/>
    <x v="4"/>
    <x v="893"/>
    <x v="0"/>
    <x v="431"/>
    <x v="1"/>
  </r>
  <r>
    <x v="815"/>
    <x v="163"/>
    <x v="4"/>
    <x v="2"/>
    <x v="1"/>
    <x v="3"/>
    <x v="1"/>
    <x v="378"/>
    <x v="3"/>
    <x v="513"/>
    <x v="1"/>
  </r>
  <r>
    <x v="816"/>
    <x v="2"/>
    <x v="0"/>
    <x v="4"/>
    <x v="1"/>
    <x v="2"/>
    <x v="4"/>
    <x v="188"/>
    <x v="5"/>
    <x v="900"/>
    <x v="1"/>
  </r>
  <r>
    <x v="817"/>
    <x v="130"/>
    <x v="6"/>
    <x v="3"/>
    <x v="1"/>
    <x v="3"/>
    <x v="4"/>
    <x v="489"/>
    <x v="5"/>
    <x v="708"/>
    <x v="1"/>
  </r>
  <r>
    <x v="818"/>
    <x v="146"/>
    <x v="0"/>
    <x v="5"/>
    <x v="1"/>
    <x v="2"/>
    <x v="3"/>
    <x v="739"/>
    <x v="5"/>
    <x v="601"/>
    <x v="1"/>
  </r>
  <r>
    <x v="819"/>
    <x v="300"/>
    <x v="4"/>
    <x v="4"/>
    <x v="1"/>
    <x v="2"/>
    <x v="6"/>
    <x v="492"/>
    <x v="2"/>
    <x v="790"/>
    <x v="1"/>
  </r>
  <r>
    <x v="820"/>
    <x v="134"/>
    <x v="1"/>
    <x v="1"/>
    <x v="0"/>
    <x v="3"/>
    <x v="1"/>
    <x v="481"/>
    <x v="1"/>
    <x v="853"/>
    <x v="0"/>
  </r>
  <r>
    <x v="821"/>
    <x v="270"/>
    <x v="0"/>
    <x v="5"/>
    <x v="1"/>
    <x v="3"/>
    <x v="0"/>
    <x v="842"/>
    <x v="3"/>
    <x v="468"/>
    <x v="1"/>
  </r>
  <r>
    <x v="822"/>
    <x v="141"/>
    <x v="5"/>
    <x v="7"/>
    <x v="1"/>
    <x v="2"/>
    <x v="0"/>
    <x v="370"/>
    <x v="3"/>
    <x v="489"/>
    <x v="1"/>
  </r>
  <r>
    <x v="823"/>
    <x v="179"/>
    <x v="2"/>
    <x v="1"/>
    <x v="0"/>
    <x v="3"/>
    <x v="5"/>
    <x v="864"/>
    <x v="5"/>
    <x v="388"/>
    <x v="0"/>
  </r>
  <r>
    <x v="824"/>
    <x v="66"/>
    <x v="8"/>
    <x v="0"/>
    <x v="0"/>
    <x v="2"/>
    <x v="2"/>
    <x v="411"/>
    <x v="3"/>
    <x v="962"/>
    <x v="0"/>
  </r>
  <r>
    <x v="825"/>
    <x v="281"/>
    <x v="0"/>
    <x v="5"/>
    <x v="1"/>
    <x v="0"/>
    <x v="5"/>
    <x v="338"/>
    <x v="1"/>
    <x v="697"/>
    <x v="1"/>
  </r>
  <r>
    <x v="826"/>
    <x v="318"/>
    <x v="2"/>
    <x v="3"/>
    <x v="1"/>
    <x v="3"/>
    <x v="5"/>
    <x v="458"/>
    <x v="1"/>
    <x v="77"/>
    <x v="1"/>
  </r>
  <r>
    <x v="827"/>
    <x v="128"/>
    <x v="3"/>
    <x v="6"/>
    <x v="1"/>
    <x v="0"/>
    <x v="0"/>
    <x v="766"/>
    <x v="4"/>
    <x v="851"/>
    <x v="1"/>
  </r>
  <r>
    <x v="828"/>
    <x v="173"/>
    <x v="2"/>
    <x v="1"/>
    <x v="0"/>
    <x v="1"/>
    <x v="3"/>
    <x v="119"/>
    <x v="4"/>
    <x v="492"/>
    <x v="0"/>
  </r>
  <r>
    <x v="829"/>
    <x v="270"/>
    <x v="8"/>
    <x v="0"/>
    <x v="0"/>
    <x v="0"/>
    <x v="4"/>
    <x v="190"/>
    <x v="0"/>
    <x v="66"/>
    <x v="0"/>
  </r>
  <r>
    <x v="830"/>
    <x v="55"/>
    <x v="2"/>
    <x v="2"/>
    <x v="1"/>
    <x v="0"/>
    <x v="6"/>
    <x v="951"/>
    <x v="1"/>
    <x v="564"/>
    <x v="1"/>
  </r>
  <r>
    <x v="831"/>
    <x v="184"/>
    <x v="4"/>
    <x v="2"/>
    <x v="1"/>
    <x v="2"/>
    <x v="4"/>
    <x v="166"/>
    <x v="1"/>
    <x v="423"/>
    <x v="1"/>
  </r>
  <r>
    <x v="832"/>
    <x v="272"/>
    <x v="6"/>
    <x v="3"/>
    <x v="1"/>
    <x v="0"/>
    <x v="4"/>
    <x v="556"/>
    <x v="1"/>
    <x v="865"/>
    <x v="1"/>
  </r>
  <r>
    <x v="833"/>
    <x v="295"/>
    <x v="8"/>
    <x v="5"/>
    <x v="1"/>
    <x v="3"/>
    <x v="1"/>
    <x v="567"/>
    <x v="4"/>
    <x v="197"/>
    <x v="1"/>
  </r>
  <r>
    <x v="834"/>
    <x v="278"/>
    <x v="6"/>
    <x v="4"/>
    <x v="1"/>
    <x v="2"/>
    <x v="0"/>
    <x v="490"/>
    <x v="5"/>
    <x v="817"/>
    <x v="1"/>
  </r>
  <r>
    <x v="835"/>
    <x v="318"/>
    <x v="1"/>
    <x v="5"/>
    <x v="1"/>
    <x v="1"/>
    <x v="6"/>
    <x v="632"/>
    <x v="5"/>
    <x v="572"/>
    <x v="1"/>
  </r>
  <r>
    <x v="836"/>
    <x v="10"/>
    <x v="6"/>
    <x v="3"/>
    <x v="1"/>
    <x v="3"/>
    <x v="3"/>
    <x v="230"/>
    <x v="3"/>
    <x v="51"/>
    <x v="1"/>
  </r>
  <r>
    <x v="837"/>
    <x v="56"/>
    <x v="3"/>
    <x v="2"/>
    <x v="1"/>
    <x v="1"/>
    <x v="1"/>
    <x v="541"/>
    <x v="5"/>
    <x v="968"/>
    <x v="1"/>
  </r>
  <r>
    <x v="838"/>
    <x v="308"/>
    <x v="4"/>
    <x v="5"/>
    <x v="1"/>
    <x v="0"/>
    <x v="2"/>
    <x v="380"/>
    <x v="2"/>
    <x v="529"/>
    <x v="1"/>
  </r>
  <r>
    <x v="839"/>
    <x v="209"/>
    <x v="1"/>
    <x v="2"/>
    <x v="1"/>
    <x v="3"/>
    <x v="3"/>
    <x v="648"/>
    <x v="4"/>
    <x v="279"/>
    <x v="1"/>
  </r>
  <r>
    <x v="840"/>
    <x v="141"/>
    <x v="2"/>
    <x v="1"/>
    <x v="0"/>
    <x v="3"/>
    <x v="5"/>
    <x v="127"/>
    <x v="1"/>
    <x v="479"/>
    <x v="0"/>
  </r>
  <r>
    <x v="841"/>
    <x v="185"/>
    <x v="8"/>
    <x v="0"/>
    <x v="0"/>
    <x v="1"/>
    <x v="3"/>
    <x v="558"/>
    <x v="5"/>
    <x v="842"/>
    <x v="0"/>
  </r>
  <r>
    <x v="842"/>
    <x v="47"/>
    <x v="3"/>
    <x v="4"/>
    <x v="1"/>
    <x v="3"/>
    <x v="3"/>
    <x v="175"/>
    <x v="4"/>
    <x v="295"/>
    <x v="1"/>
  </r>
  <r>
    <x v="843"/>
    <x v="241"/>
    <x v="4"/>
    <x v="1"/>
    <x v="0"/>
    <x v="3"/>
    <x v="4"/>
    <x v="293"/>
    <x v="5"/>
    <x v="184"/>
    <x v="0"/>
  </r>
  <r>
    <x v="844"/>
    <x v="53"/>
    <x v="1"/>
    <x v="2"/>
    <x v="1"/>
    <x v="3"/>
    <x v="3"/>
    <x v="216"/>
    <x v="0"/>
    <x v="115"/>
    <x v="1"/>
  </r>
  <r>
    <x v="845"/>
    <x v="65"/>
    <x v="1"/>
    <x v="2"/>
    <x v="1"/>
    <x v="0"/>
    <x v="5"/>
    <x v="172"/>
    <x v="1"/>
    <x v="283"/>
    <x v="1"/>
  </r>
  <r>
    <x v="846"/>
    <x v="136"/>
    <x v="3"/>
    <x v="6"/>
    <x v="1"/>
    <x v="1"/>
    <x v="5"/>
    <x v="828"/>
    <x v="0"/>
    <x v="776"/>
    <x v="1"/>
  </r>
  <r>
    <x v="847"/>
    <x v="323"/>
    <x v="5"/>
    <x v="6"/>
    <x v="1"/>
    <x v="3"/>
    <x v="0"/>
    <x v="299"/>
    <x v="1"/>
    <x v="480"/>
    <x v="1"/>
  </r>
  <r>
    <x v="848"/>
    <x v="57"/>
    <x v="2"/>
    <x v="1"/>
    <x v="0"/>
    <x v="2"/>
    <x v="3"/>
    <x v="925"/>
    <x v="4"/>
    <x v="220"/>
    <x v="0"/>
  </r>
  <r>
    <x v="849"/>
    <x v="286"/>
    <x v="3"/>
    <x v="7"/>
    <x v="1"/>
    <x v="2"/>
    <x v="4"/>
    <x v="970"/>
    <x v="3"/>
    <x v="151"/>
    <x v="1"/>
  </r>
  <r>
    <x v="850"/>
    <x v="225"/>
    <x v="1"/>
    <x v="1"/>
    <x v="0"/>
    <x v="2"/>
    <x v="3"/>
    <x v="559"/>
    <x v="5"/>
    <x v="327"/>
    <x v="0"/>
  </r>
  <r>
    <x v="851"/>
    <x v="305"/>
    <x v="0"/>
    <x v="6"/>
    <x v="1"/>
    <x v="2"/>
    <x v="2"/>
    <x v="129"/>
    <x v="5"/>
    <x v="929"/>
    <x v="1"/>
  </r>
  <r>
    <x v="852"/>
    <x v="97"/>
    <x v="4"/>
    <x v="2"/>
    <x v="1"/>
    <x v="0"/>
    <x v="2"/>
    <x v="385"/>
    <x v="2"/>
    <x v="345"/>
    <x v="1"/>
  </r>
  <r>
    <x v="853"/>
    <x v="209"/>
    <x v="3"/>
    <x v="3"/>
    <x v="1"/>
    <x v="3"/>
    <x v="4"/>
    <x v="797"/>
    <x v="0"/>
    <x v="986"/>
    <x v="1"/>
  </r>
  <r>
    <x v="854"/>
    <x v="289"/>
    <x v="5"/>
    <x v="1"/>
    <x v="0"/>
    <x v="1"/>
    <x v="0"/>
    <x v="371"/>
    <x v="5"/>
    <x v="501"/>
    <x v="0"/>
  </r>
  <r>
    <x v="855"/>
    <x v="202"/>
    <x v="1"/>
    <x v="2"/>
    <x v="1"/>
    <x v="3"/>
    <x v="0"/>
    <x v="93"/>
    <x v="4"/>
    <x v="166"/>
    <x v="1"/>
  </r>
  <r>
    <x v="856"/>
    <x v="223"/>
    <x v="2"/>
    <x v="3"/>
    <x v="1"/>
    <x v="0"/>
    <x v="5"/>
    <x v="544"/>
    <x v="3"/>
    <x v="882"/>
    <x v="1"/>
  </r>
  <r>
    <x v="857"/>
    <x v="240"/>
    <x v="6"/>
    <x v="3"/>
    <x v="1"/>
    <x v="2"/>
    <x v="5"/>
    <x v="851"/>
    <x v="4"/>
    <x v="472"/>
    <x v="1"/>
  </r>
  <r>
    <x v="858"/>
    <x v="243"/>
    <x v="1"/>
    <x v="6"/>
    <x v="1"/>
    <x v="0"/>
    <x v="1"/>
    <x v="794"/>
    <x v="0"/>
    <x v="706"/>
    <x v="1"/>
  </r>
  <r>
    <x v="859"/>
    <x v="4"/>
    <x v="2"/>
    <x v="1"/>
    <x v="0"/>
    <x v="3"/>
    <x v="4"/>
    <x v="164"/>
    <x v="2"/>
    <x v="983"/>
    <x v="0"/>
  </r>
  <r>
    <x v="860"/>
    <x v="242"/>
    <x v="3"/>
    <x v="5"/>
    <x v="1"/>
    <x v="1"/>
    <x v="3"/>
    <x v="666"/>
    <x v="5"/>
    <x v="44"/>
    <x v="1"/>
  </r>
  <r>
    <x v="861"/>
    <x v="49"/>
    <x v="2"/>
    <x v="4"/>
    <x v="1"/>
    <x v="0"/>
    <x v="6"/>
    <x v="220"/>
    <x v="4"/>
    <x v="89"/>
    <x v="1"/>
  </r>
  <r>
    <x v="862"/>
    <x v="43"/>
    <x v="8"/>
    <x v="6"/>
    <x v="1"/>
    <x v="1"/>
    <x v="4"/>
    <x v="215"/>
    <x v="1"/>
    <x v="716"/>
    <x v="1"/>
  </r>
  <r>
    <x v="863"/>
    <x v="199"/>
    <x v="8"/>
    <x v="6"/>
    <x v="1"/>
    <x v="0"/>
    <x v="1"/>
    <x v="877"/>
    <x v="3"/>
    <x v="267"/>
    <x v="1"/>
  </r>
  <r>
    <x v="864"/>
    <x v="163"/>
    <x v="8"/>
    <x v="5"/>
    <x v="1"/>
    <x v="1"/>
    <x v="5"/>
    <x v="255"/>
    <x v="4"/>
    <x v="174"/>
    <x v="1"/>
  </r>
  <r>
    <x v="865"/>
    <x v="8"/>
    <x v="5"/>
    <x v="4"/>
    <x v="1"/>
    <x v="1"/>
    <x v="4"/>
    <x v="268"/>
    <x v="3"/>
    <x v="33"/>
    <x v="1"/>
  </r>
  <r>
    <x v="866"/>
    <x v="90"/>
    <x v="5"/>
    <x v="2"/>
    <x v="1"/>
    <x v="2"/>
    <x v="4"/>
    <x v="1"/>
    <x v="5"/>
    <x v="20"/>
    <x v="1"/>
  </r>
  <r>
    <x v="867"/>
    <x v="19"/>
    <x v="0"/>
    <x v="7"/>
    <x v="1"/>
    <x v="1"/>
    <x v="5"/>
    <x v="875"/>
    <x v="1"/>
    <x v="771"/>
    <x v="1"/>
  </r>
  <r>
    <x v="868"/>
    <x v="223"/>
    <x v="5"/>
    <x v="1"/>
    <x v="0"/>
    <x v="2"/>
    <x v="1"/>
    <x v="790"/>
    <x v="2"/>
    <x v="124"/>
    <x v="0"/>
  </r>
  <r>
    <x v="869"/>
    <x v="55"/>
    <x v="6"/>
    <x v="7"/>
    <x v="1"/>
    <x v="3"/>
    <x v="5"/>
    <x v="619"/>
    <x v="2"/>
    <x v="476"/>
    <x v="1"/>
  </r>
  <r>
    <x v="870"/>
    <x v="164"/>
    <x v="3"/>
    <x v="2"/>
    <x v="1"/>
    <x v="3"/>
    <x v="0"/>
    <x v="747"/>
    <x v="1"/>
    <x v="624"/>
    <x v="1"/>
  </r>
  <r>
    <x v="871"/>
    <x v="313"/>
    <x v="1"/>
    <x v="0"/>
    <x v="0"/>
    <x v="2"/>
    <x v="3"/>
    <x v="136"/>
    <x v="3"/>
    <x v="439"/>
    <x v="0"/>
  </r>
  <r>
    <x v="872"/>
    <x v="56"/>
    <x v="1"/>
    <x v="6"/>
    <x v="1"/>
    <x v="2"/>
    <x v="5"/>
    <x v="462"/>
    <x v="5"/>
    <x v="25"/>
    <x v="1"/>
  </r>
  <r>
    <x v="873"/>
    <x v="133"/>
    <x v="0"/>
    <x v="4"/>
    <x v="1"/>
    <x v="0"/>
    <x v="1"/>
    <x v="357"/>
    <x v="4"/>
    <x v="783"/>
    <x v="1"/>
  </r>
  <r>
    <x v="874"/>
    <x v="200"/>
    <x v="5"/>
    <x v="6"/>
    <x v="1"/>
    <x v="0"/>
    <x v="2"/>
    <x v="99"/>
    <x v="1"/>
    <x v="11"/>
    <x v="1"/>
  </r>
  <r>
    <x v="875"/>
    <x v="2"/>
    <x v="6"/>
    <x v="3"/>
    <x v="1"/>
    <x v="0"/>
    <x v="0"/>
    <x v="485"/>
    <x v="0"/>
    <x v="757"/>
    <x v="1"/>
  </r>
  <r>
    <x v="876"/>
    <x v="148"/>
    <x v="2"/>
    <x v="6"/>
    <x v="1"/>
    <x v="3"/>
    <x v="2"/>
    <x v="919"/>
    <x v="3"/>
    <x v="883"/>
    <x v="1"/>
  </r>
  <r>
    <x v="877"/>
    <x v="210"/>
    <x v="0"/>
    <x v="6"/>
    <x v="1"/>
    <x v="0"/>
    <x v="6"/>
    <x v="41"/>
    <x v="2"/>
    <x v="445"/>
    <x v="1"/>
  </r>
  <r>
    <x v="878"/>
    <x v="250"/>
    <x v="6"/>
    <x v="2"/>
    <x v="1"/>
    <x v="1"/>
    <x v="5"/>
    <x v="307"/>
    <x v="1"/>
    <x v="548"/>
    <x v="1"/>
  </r>
  <r>
    <x v="879"/>
    <x v="109"/>
    <x v="2"/>
    <x v="2"/>
    <x v="1"/>
    <x v="1"/>
    <x v="0"/>
    <x v="205"/>
    <x v="2"/>
    <x v="491"/>
    <x v="1"/>
  </r>
  <r>
    <x v="880"/>
    <x v="81"/>
    <x v="6"/>
    <x v="2"/>
    <x v="1"/>
    <x v="0"/>
    <x v="3"/>
    <x v="239"/>
    <x v="3"/>
    <x v="393"/>
    <x v="1"/>
  </r>
  <r>
    <x v="881"/>
    <x v="304"/>
    <x v="2"/>
    <x v="7"/>
    <x v="1"/>
    <x v="1"/>
    <x v="5"/>
    <x v="911"/>
    <x v="2"/>
    <x v="878"/>
    <x v="1"/>
  </r>
  <r>
    <x v="882"/>
    <x v="62"/>
    <x v="4"/>
    <x v="3"/>
    <x v="1"/>
    <x v="3"/>
    <x v="3"/>
    <x v="472"/>
    <x v="1"/>
    <x v="884"/>
    <x v="1"/>
  </r>
  <r>
    <x v="883"/>
    <x v="331"/>
    <x v="6"/>
    <x v="0"/>
    <x v="0"/>
    <x v="1"/>
    <x v="4"/>
    <x v="470"/>
    <x v="3"/>
    <x v="332"/>
    <x v="0"/>
  </r>
  <r>
    <x v="884"/>
    <x v="89"/>
    <x v="1"/>
    <x v="0"/>
    <x v="0"/>
    <x v="3"/>
    <x v="2"/>
    <x v="762"/>
    <x v="0"/>
    <x v="631"/>
    <x v="0"/>
  </r>
  <r>
    <x v="885"/>
    <x v="248"/>
    <x v="8"/>
    <x v="2"/>
    <x v="1"/>
    <x v="2"/>
    <x v="0"/>
    <x v="138"/>
    <x v="1"/>
    <x v="916"/>
    <x v="1"/>
  </r>
  <r>
    <x v="886"/>
    <x v="95"/>
    <x v="5"/>
    <x v="4"/>
    <x v="1"/>
    <x v="2"/>
    <x v="3"/>
    <x v="486"/>
    <x v="4"/>
    <x v="955"/>
    <x v="1"/>
  </r>
  <r>
    <x v="887"/>
    <x v="299"/>
    <x v="2"/>
    <x v="7"/>
    <x v="1"/>
    <x v="2"/>
    <x v="1"/>
    <x v="433"/>
    <x v="5"/>
    <x v="522"/>
    <x v="1"/>
  </r>
  <r>
    <x v="888"/>
    <x v="112"/>
    <x v="4"/>
    <x v="5"/>
    <x v="1"/>
    <x v="2"/>
    <x v="3"/>
    <x v="588"/>
    <x v="1"/>
    <x v="466"/>
    <x v="1"/>
  </r>
  <r>
    <x v="889"/>
    <x v="26"/>
    <x v="6"/>
    <x v="4"/>
    <x v="1"/>
    <x v="1"/>
    <x v="1"/>
    <x v="997"/>
    <x v="3"/>
    <x v="264"/>
    <x v="1"/>
  </r>
  <r>
    <x v="890"/>
    <x v="125"/>
    <x v="1"/>
    <x v="1"/>
    <x v="0"/>
    <x v="0"/>
    <x v="5"/>
    <x v="771"/>
    <x v="5"/>
    <x v="951"/>
    <x v="0"/>
  </r>
  <r>
    <x v="891"/>
    <x v="181"/>
    <x v="8"/>
    <x v="1"/>
    <x v="0"/>
    <x v="1"/>
    <x v="0"/>
    <x v="405"/>
    <x v="1"/>
    <x v="133"/>
    <x v="0"/>
  </r>
  <r>
    <x v="892"/>
    <x v="209"/>
    <x v="2"/>
    <x v="4"/>
    <x v="1"/>
    <x v="3"/>
    <x v="3"/>
    <x v="831"/>
    <x v="0"/>
    <x v="599"/>
    <x v="1"/>
  </r>
  <r>
    <x v="893"/>
    <x v="307"/>
    <x v="6"/>
    <x v="2"/>
    <x v="1"/>
    <x v="1"/>
    <x v="6"/>
    <x v="161"/>
    <x v="0"/>
    <x v="269"/>
    <x v="1"/>
  </r>
  <r>
    <x v="894"/>
    <x v="157"/>
    <x v="6"/>
    <x v="5"/>
    <x v="1"/>
    <x v="1"/>
    <x v="3"/>
    <x v="31"/>
    <x v="4"/>
    <x v="265"/>
    <x v="1"/>
  </r>
  <r>
    <x v="895"/>
    <x v="8"/>
    <x v="2"/>
    <x v="5"/>
    <x v="1"/>
    <x v="3"/>
    <x v="6"/>
    <x v="200"/>
    <x v="2"/>
    <x v="410"/>
    <x v="1"/>
  </r>
  <r>
    <x v="896"/>
    <x v="36"/>
    <x v="0"/>
    <x v="7"/>
    <x v="1"/>
    <x v="2"/>
    <x v="0"/>
    <x v="348"/>
    <x v="5"/>
    <x v="997"/>
    <x v="1"/>
  </r>
  <r>
    <x v="897"/>
    <x v="22"/>
    <x v="0"/>
    <x v="5"/>
    <x v="1"/>
    <x v="2"/>
    <x v="3"/>
    <x v="511"/>
    <x v="3"/>
    <x v="53"/>
    <x v="1"/>
  </r>
  <r>
    <x v="898"/>
    <x v="242"/>
    <x v="1"/>
    <x v="1"/>
    <x v="0"/>
    <x v="2"/>
    <x v="1"/>
    <x v="605"/>
    <x v="3"/>
    <x v="598"/>
    <x v="0"/>
  </r>
  <r>
    <x v="899"/>
    <x v="209"/>
    <x v="8"/>
    <x v="3"/>
    <x v="1"/>
    <x v="0"/>
    <x v="3"/>
    <x v="913"/>
    <x v="2"/>
    <x v="76"/>
    <x v="1"/>
  </r>
  <r>
    <x v="900"/>
    <x v="113"/>
    <x v="2"/>
    <x v="2"/>
    <x v="1"/>
    <x v="3"/>
    <x v="2"/>
    <x v="510"/>
    <x v="0"/>
    <x v="142"/>
    <x v="1"/>
  </r>
  <r>
    <x v="901"/>
    <x v="34"/>
    <x v="1"/>
    <x v="5"/>
    <x v="1"/>
    <x v="3"/>
    <x v="5"/>
    <x v="499"/>
    <x v="0"/>
    <x v="453"/>
    <x v="1"/>
  </r>
  <r>
    <x v="902"/>
    <x v="303"/>
    <x v="1"/>
    <x v="7"/>
    <x v="1"/>
    <x v="1"/>
    <x v="4"/>
    <x v="48"/>
    <x v="1"/>
    <x v="523"/>
    <x v="1"/>
  </r>
  <r>
    <x v="903"/>
    <x v="232"/>
    <x v="3"/>
    <x v="1"/>
    <x v="0"/>
    <x v="0"/>
    <x v="1"/>
    <x v="35"/>
    <x v="4"/>
    <x v="251"/>
    <x v="0"/>
  </r>
  <r>
    <x v="904"/>
    <x v="162"/>
    <x v="6"/>
    <x v="3"/>
    <x v="1"/>
    <x v="2"/>
    <x v="2"/>
    <x v="540"/>
    <x v="5"/>
    <x v="309"/>
    <x v="1"/>
  </r>
  <r>
    <x v="905"/>
    <x v="82"/>
    <x v="5"/>
    <x v="6"/>
    <x v="1"/>
    <x v="0"/>
    <x v="6"/>
    <x v="445"/>
    <x v="4"/>
    <x v="81"/>
    <x v="1"/>
  </r>
  <r>
    <x v="906"/>
    <x v="33"/>
    <x v="6"/>
    <x v="6"/>
    <x v="1"/>
    <x v="3"/>
    <x v="5"/>
    <x v="845"/>
    <x v="4"/>
    <x v="292"/>
    <x v="1"/>
  </r>
  <r>
    <x v="907"/>
    <x v="292"/>
    <x v="0"/>
    <x v="3"/>
    <x v="1"/>
    <x v="3"/>
    <x v="0"/>
    <x v="147"/>
    <x v="1"/>
    <x v="960"/>
    <x v="1"/>
  </r>
  <r>
    <x v="908"/>
    <x v="162"/>
    <x v="8"/>
    <x v="1"/>
    <x v="0"/>
    <x v="1"/>
    <x v="1"/>
    <x v="26"/>
    <x v="4"/>
    <x v="934"/>
    <x v="0"/>
  </r>
  <r>
    <x v="909"/>
    <x v="262"/>
    <x v="6"/>
    <x v="7"/>
    <x v="1"/>
    <x v="1"/>
    <x v="4"/>
    <x v="455"/>
    <x v="2"/>
    <x v="331"/>
    <x v="1"/>
  </r>
  <r>
    <x v="910"/>
    <x v="73"/>
    <x v="2"/>
    <x v="3"/>
    <x v="1"/>
    <x v="3"/>
    <x v="5"/>
    <x v="238"/>
    <x v="1"/>
    <x v="584"/>
    <x v="1"/>
  </r>
  <r>
    <x v="911"/>
    <x v="104"/>
    <x v="1"/>
    <x v="2"/>
    <x v="1"/>
    <x v="2"/>
    <x v="6"/>
    <x v="46"/>
    <x v="2"/>
    <x v="899"/>
    <x v="1"/>
  </r>
  <r>
    <x v="912"/>
    <x v="36"/>
    <x v="2"/>
    <x v="2"/>
    <x v="1"/>
    <x v="2"/>
    <x v="4"/>
    <x v="723"/>
    <x v="1"/>
    <x v="5"/>
    <x v="1"/>
  </r>
  <r>
    <x v="913"/>
    <x v="277"/>
    <x v="3"/>
    <x v="6"/>
    <x v="1"/>
    <x v="0"/>
    <x v="0"/>
    <x v="112"/>
    <x v="4"/>
    <x v="805"/>
    <x v="1"/>
  </r>
  <r>
    <x v="914"/>
    <x v="207"/>
    <x v="8"/>
    <x v="5"/>
    <x v="1"/>
    <x v="3"/>
    <x v="0"/>
    <x v="599"/>
    <x v="2"/>
    <x v="939"/>
    <x v="1"/>
  </r>
  <r>
    <x v="915"/>
    <x v="294"/>
    <x v="1"/>
    <x v="7"/>
    <x v="1"/>
    <x v="3"/>
    <x v="6"/>
    <x v="294"/>
    <x v="2"/>
    <x v="86"/>
    <x v="1"/>
  </r>
  <r>
    <x v="916"/>
    <x v="323"/>
    <x v="2"/>
    <x v="6"/>
    <x v="1"/>
    <x v="2"/>
    <x v="1"/>
    <x v="163"/>
    <x v="2"/>
    <x v="146"/>
    <x v="1"/>
  </r>
  <r>
    <x v="917"/>
    <x v="105"/>
    <x v="0"/>
    <x v="5"/>
    <x v="1"/>
    <x v="2"/>
    <x v="6"/>
    <x v="387"/>
    <x v="1"/>
    <x v="952"/>
    <x v="1"/>
  </r>
  <r>
    <x v="918"/>
    <x v="172"/>
    <x v="5"/>
    <x v="5"/>
    <x v="1"/>
    <x v="3"/>
    <x v="3"/>
    <x v="800"/>
    <x v="3"/>
    <x v="549"/>
    <x v="1"/>
  </r>
  <r>
    <x v="919"/>
    <x v="299"/>
    <x v="3"/>
    <x v="0"/>
    <x v="0"/>
    <x v="1"/>
    <x v="0"/>
    <x v="398"/>
    <x v="4"/>
    <x v="16"/>
    <x v="0"/>
  </r>
  <r>
    <x v="920"/>
    <x v="51"/>
    <x v="8"/>
    <x v="2"/>
    <x v="1"/>
    <x v="3"/>
    <x v="5"/>
    <x v="748"/>
    <x v="2"/>
    <x v="250"/>
    <x v="1"/>
  </r>
  <r>
    <x v="921"/>
    <x v="36"/>
    <x v="3"/>
    <x v="1"/>
    <x v="0"/>
    <x v="3"/>
    <x v="3"/>
    <x v="118"/>
    <x v="5"/>
    <x v="464"/>
    <x v="0"/>
  </r>
  <r>
    <x v="922"/>
    <x v="328"/>
    <x v="0"/>
    <x v="4"/>
    <x v="1"/>
    <x v="2"/>
    <x v="2"/>
    <x v="774"/>
    <x v="3"/>
    <x v="692"/>
    <x v="1"/>
  </r>
  <r>
    <x v="923"/>
    <x v="36"/>
    <x v="8"/>
    <x v="1"/>
    <x v="0"/>
    <x v="2"/>
    <x v="4"/>
    <x v="237"/>
    <x v="5"/>
    <x v="725"/>
    <x v="0"/>
  </r>
  <r>
    <x v="924"/>
    <x v="321"/>
    <x v="3"/>
    <x v="4"/>
    <x v="1"/>
    <x v="1"/>
    <x v="3"/>
    <x v="674"/>
    <x v="4"/>
    <x v="993"/>
    <x v="1"/>
  </r>
  <r>
    <x v="925"/>
    <x v="219"/>
    <x v="4"/>
    <x v="3"/>
    <x v="1"/>
    <x v="1"/>
    <x v="4"/>
    <x v="554"/>
    <x v="4"/>
    <x v="276"/>
    <x v="1"/>
  </r>
  <r>
    <x v="926"/>
    <x v="267"/>
    <x v="0"/>
    <x v="2"/>
    <x v="1"/>
    <x v="0"/>
    <x v="6"/>
    <x v="929"/>
    <x v="2"/>
    <x v="550"/>
    <x v="1"/>
  </r>
  <r>
    <x v="927"/>
    <x v="243"/>
    <x v="0"/>
    <x v="5"/>
    <x v="1"/>
    <x v="3"/>
    <x v="3"/>
    <x v="392"/>
    <x v="2"/>
    <x v="545"/>
    <x v="1"/>
  </r>
  <r>
    <x v="928"/>
    <x v="200"/>
    <x v="0"/>
    <x v="7"/>
    <x v="1"/>
    <x v="2"/>
    <x v="6"/>
    <x v="63"/>
    <x v="1"/>
    <x v="412"/>
    <x v="1"/>
  </r>
  <r>
    <x v="929"/>
    <x v="135"/>
    <x v="4"/>
    <x v="4"/>
    <x v="1"/>
    <x v="1"/>
    <x v="2"/>
    <x v="23"/>
    <x v="3"/>
    <x v="160"/>
    <x v="1"/>
  </r>
  <r>
    <x v="930"/>
    <x v="311"/>
    <x v="4"/>
    <x v="1"/>
    <x v="0"/>
    <x v="0"/>
    <x v="0"/>
    <x v="829"/>
    <x v="3"/>
    <x v="976"/>
    <x v="0"/>
  </r>
  <r>
    <x v="931"/>
    <x v="155"/>
    <x v="2"/>
    <x v="5"/>
    <x v="1"/>
    <x v="0"/>
    <x v="2"/>
    <x v="522"/>
    <x v="2"/>
    <x v="837"/>
    <x v="1"/>
  </r>
  <r>
    <x v="932"/>
    <x v="83"/>
    <x v="1"/>
    <x v="4"/>
    <x v="1"/>
    <x v="2"/>
    <x v="0"/>
    <x v="776"/>
    <x v="4"/>
    <x v="510"/>
    <x v="1"/>
  </r>
  <r>
    <x v="933"/>
    <x v="327"/>
    <x v="5"/>
    <x v="4"/>
    <x v="1"/>
    <x v="2"/>
    <x v="6"/>
    <x v="235"/>
    <x v="2"/>
    <x v="622"/>
    <x v="1"/>
  </r>
  <r>
    <x v="934"/>
    <x v="53"/>
    <x v="3"/>
    <x v="0"/>
    <x v="0"/>
    <x v="0"/>
    <x v="0"/>
    <x v="353"/>
    <x v="4"/>
    <x v="219"/>
    <x v="0"/>
  </r>
  <r>
    <x v="935"/>
    <x v="53"/>
    <x v="2"/>
    <x v="4"/>
    <x v="1"/>
    <x v="1"/>
    <x v="4"/>
    <x v="30"/>
    <x v="4"/>
    <x v="553"/>
    <x v="1"/>
  </r>
  <r>
    <x v="936"/>
    <x v="280"/>
    <x v="3"/>
    <x v="7"/>
    <x v="1"/>
    <x v="0"/>
    <x v="5"/>
    <x v="961"/>
    <x v="2"/>
    <x v="694"/>
    <x v="1"/>
  </r>
  <r>
    <x v="937"/>
    <x v="156"/>
    <x v="5"/>
    <x v="2"/>
    <x v="1"/>
    <x v="3"/>
    <x v="2"/>
    <x v="661"/>
    <x v="0"/>
    <x v="533"/>
    <x v="1"/>
  </r>
  <r>
    <x v="938"/>
    <x v="250"/>
    <x v="1"/>
    <x v="7"/>
    <x v="1"/>
    <x v="3"/>
    <x v="3"/>
    <x v="932"/>
    <x v="3"/>
    <x v="988"/>
    <x v="1"/>
  </r>
  <r>
    <x v="939"/>
    <x v="337"/>
    <x v="4"/>
    <x v="6"/>
    <x v="1"/>
    <x v="2"/>
    <x v="2"/>
    <x v="273"/>
    <x v="5"/>
    <x v="629"/>
    <x v="1"/>
  </r>
  <r>
    <x v="940"/>
    <x v="41"/>
    <x v="1"/>
    <x v="5"/>
    <x v="1"/>
    <x v="1"/>
    <x v="4"/>
    <x v="603"/>
    <x v="4"/>
    <x v="373"/>
    <x v="1"/>
  </r>
  <r>
    <x v="941"/>
    <x v="319"/>
    <x v="4"/>
    <x v="2"/>
    <x v="1"/>
    <x v="1"/>
    <x v="0"/>
    <x v="676"/>
    <x v="4"/>
    <x v="770"/>
    <x v="1"/>
  </r>
  <r>
    <x v="942"/>
    <x v="167"/>
    <x v="5"/>
    <x v="0"/>
    <x v="0"/>
    <x v="3"/>
    <x v="4"/>
    <x v="328"/>
    <x v="0"/>
    <x v="161"/>
    <x v="0"/>
  </r>
  <r>
    <x v="943"/>
    <x v="157"/>
    <x v="1"/>
    <x v="2"/>
    <x v="1"/>
    <x v="0"/>
    <x v="1"/>
    <x v="854"/>
    <x v="5"/>
    <x v="387"/>
    <x v="1"/>
  </r>
  <r>
    <x v="944"/>
    <x v="330"/>
    <x v="2"/>
    <x v="2"/>
    <x v="1"/>
    <x v="2"/>
    <x v="1"/>
    <x v="946"/>
    <x v="1"/>
    <x v="350"/>
    <x v="1"/>
  </r>
  <r>
    <x v="945"/>
    <x v="177"/>
    <x v="8"/>
    <x v="1"/>
    <x v="0"/>
    <x v="0"/>
    <x v="3"/>
    <x v="889"/>
    <x v="0"/>
    <x v="444"/>
    <x v="0"/>
  </r>
  <r>
    <x v="946"/>
    <x v="143"/>
    <x v="2"/>
    <x v="2"/>
    <x v="1"/>
    <x v="0"/>
    <x v="4"/>
    <x v="738"/>
    <x v="5"/>
    <x v="778"/>
    <x v="1"/>
  </r>
  <r>
    <x v="947"/>
    <x v="174"/>
    <x v="3"/>
    <x v="0"/>
    <x v="0"/>
    <x v="0"/>
    <x v="6"/>
    <x v="290"/>
    <x v="0"/>
    <x v="499"/>
    <x v="0"/>
  </r>
  <r>
    <x v="948"/>
    <x v="6"/>
    <x v="2"/>
    <x v="7"/>
    <x v="1"/>
    <x v="1"/>
    <x v="3"/>
    <x v="295"/>
    <x v="4"/>
    <x v="786"/>
    <x v="1"/>
  </r>
  <r>
    <x v="949"/>
    <x v="122"/>
    <x v="5"/>
    <x v="2"/>
    <x v="1"/>
    <x v="3"/>
    <x v="6"/>
    <x v="962"/>
    <x v="3"/>
    <x v="592"/>
    <x v="1"/>
  </r>
  <r>
    <x v="950"/>
    <x v="217"/>
    <x v="0"/>
    <x v="3"/>
    <x v="1"/>
    <x v="1"/>
    <x v="3"/>
    <x v="12"/>
    <x v="0"/>
    <x v="341"/>
    <x v="1"/>
  </r>
  <r>
    <x v="951"/>
    <x v="41"/>
    <x v="3"/>
    <x v="5"/>
    <x v="1"/>
    <x v="3"/>
    <x v="1"/>
    <x v="715"/>
    <x v="1"/>
    <x v="803"/>
    <x v="1"/>
  </r>
  <r>
    <x v="952"/>
    <x v="290"/>
    <x v="1"/>
    <x v="2"/>
    <x v="1"/>
    <x v="2"/>
    <x v="3"/>
    <x v="704"/>
    <x v="2"/>
    <x v="229"/>
    <x v="1"/>
  </r>
  <r>
    <x v="953"/>
    <x v="230"/>
    <x v="3"/>
    <x v="5"/>
    <x v="1"/>
    <x v="2"/>
    <x v="1"/>
    <x v="613"/>
    <x v="5"/>
    <x v="215"/>
    <x v="1"/>
  </r>
  <r>
    <x v="954"/>
    <x v="28"/>
    <x v="8"/>
    <x v="3"/>
    <x v="1"/>
    <x v="0"/>
    <x v="0"/>
    <x v="987"/>
    <x v="0"/>
    <x v="516"/>
    <x v="1"/>
  </r>
  <r>
    <x v="955"/>
    <x v="21"/>
    <x v="4"/>
    <x v="3"/>
    <x v="1"/>
    <x v="3"/>
    <x v="6"/>
    <x v="322"/>
    <x v="0"/>
    <x v="253"/>
    <x v="1"/>
  </r>
  <r>
    <x v="956"/>
    <x v="148"/>
    <x v="1"/>
    <x v="5"/>
    <x v="1"/>
    <x v="3"/>
    <x v="4"/>
    <x v="347"/>
    <x v="1"/>
    <x v="9"/>
    <x v="1"/>
  </r>
  <r>
    <x v="957"/>
    <x v="337"/>
    <x v="6"/>
    <x v="4"/>
    <x v="1"/>
    <x v="3"/>
    <x v="3"/>
    <x v="86"/>
    <x v="3"/>
    <x v="654"/>
    <x v="1"/>
  </r>
  <r>
    <x v="958"/>
    <x v="146"/>
    <x v="3"/>
    <x v="6"/>
    <x v="1"/>
    <x v="0"/>
    <x v="1"/>
    <x v="450"/>
    <x v="0"/>
    <x v="525"/>
    <x v="1"/>
  </r>
  <r>
    <x v="959"/>
    <x v="35"/>
    <x v="1"/>
    <x v="1"/>
    <x v="0"/>
    <x v="0"/>
    <x v="2"/>
    <x v="267"/>
    <x v="0"/>
    <x v="460"/>
    <x v="0"/>
  </r>
  <r>
    <x v="960"/>
    <x v="74"/>
    <x v="1"/>
    <x v="4"/>
    <x v="1"/>
    <x v="2"/>
    <x v="6"/>
    <x v="352"/>
    <x v="3"/>
    <x v="964"/>
    <x v="1"/>
  </r>
  <r>
    <x v="961"/>
    <x v="330"/>
    <x v="1"/>
    <x v="4"/>
    <x v="1"/>
    <x v="1"/>
    <x v="3"/>
    <x v="835"/>
    <x v="1"/>
    <x v="586"/>
    <x v="1"/>
  </r>
  <r>
    <x v="962"/>
    <x v="239"/>
    <x v="4"/>
    <x v="7"/>
    <x v="1"/>
    <x v="3"/>
    <x v="5"/>
    <x v="933"/>
    <x v="5"/>
    <x v="852"/>
    <x v="1"/>
  </r>
  <r>
    <x v="963"/>
    <x v="191"/>
    <x v="6"/>
    <x v="1"/>
    <x v="0"/>
    <x v="3"/>
    <x v="0"/>
    <x v="177"/>
    <x v="5"/>
    <x v="130"/>
    <x v="0"/>
  </r>
  <r>
    <x v="964"/>
    <x v="70"/>
    <x v="5"/>
    <x v="1"/>
    <x v="0"/>
    <x v="1"/>
    <x v="0"/>
    <x v="381"/>
    <x v="0"/>
    <x v="582"/>
    <x v="0"/>
  </r>
  <r>
    <x v="965"/>
    <x v="11"/>
    <x v="2"/>
    <x v="4"/>
    <x v="1"/>
    <x v="3"/>
    <x v="2"/>
    <x v="927"/>
    <x v="3"/>
    <x v="858"/>
    <x v="1"/>
  </r>
  <r>
    <x v="966"/>
    <x v="272"/>
    <x v="1"/>
    <x v="2"/>
    <x v="1"/>
    <x v="0"/>
    <x v="1"/>
    <x v="58"/>
    <x v="0"/>
    <x v="602"/>
    <x v="1"/>
  </r>
  <r>
    <x v="967"/>
    <x v="207"/>
    <x v="0"/>
    <x v="7"/>
    <x v="1"/>
    <x v="0"/>
    <x v="3"/>
    <x v="97"/>
    <x v="2"/>
    <x v="711"/>
    <x v="1"/>
  </r>
  <r>
    <x v="968"/>
    <x v="12"/>
    <x v="5"/>
    <x v="7"/>
    <x v="1"/>
    <x v="3"/>
    <x v="6"/>
    <x v="151"/>
    <x v="5"/>
    <x v="374"/>
    <x v="1"/>
  </r>
  <r>
    <x v="969"/>
    <x v="42"/>
    <x v="8"/>
    <x v="3"/>
    <x v="1"/>
    <x v="0"/>
    <x v="1"/>
    <x v="585"/>
    <x v="4"/>
    <x v="88"/>
    <x v="1"/>
  </r>
  <r>
    <x v="970"/>
    <x v="143"/>
    <x v="4"/>
    <x v="0"/>
    <x v="0"/>
    <x v="0"/>
    <x v="0"/>
    <x v="134"/>
    <x v="2"/>
    <x v="469"/>
    <x v="0"/>
  </r>
  <r>
    <x v="971"/>
    <x v="103"/>
    <x v="3"/>
    <x v="1"/>
    <x v="0"/>
    <x v="3"/>
    <x v="1"/>
    <x v="968"/>
    <x v="0"/>
    <x v="401"/>
    <x v="0"/>
  </r>
  <r>
    <x v="972"/>
    <x v="215"/>
    <x v="4"/>
    <x v="4"/>
    <x v="1"/>
    <x v="2"/>
    <x v="0"/>
    <x v="453"/>
    <x v="1"/>
    <x v="857"/>
    <x v="1"/>
  </r>
  <r>
    <x v="973"/>
    <x v="16"/>
    <x v="3"/>
    <x v="3"/>
    <x v="1"/>
    <x v="1"/>
    <x v="1"/>
    <x v="500"/>
    <x v="5"/>
    <x v="236"/>
    <x v="1"/>
  </r>
  <r>
    <x v="974"/>
    <x v="334"/>
    <x v="4"/>
    <x v="5"/>
    <x v="1"/>
    <x v="0"/>
    <x v="2"/>
    <x v="249"/>
    <x v="4"/>
    <x v="963"/>
    <x v="1"/>
  </r>
  <r>
    <x v="975"/>
    <x v="206"/>
    <x v="3"/>
    <x v="6"/>
    <x v="1"/>
    <x v="2"/>
    <x v="4"/>
    <x v="474"/>
    <x v="2"/>
    <x v="950"/>
    <x v="1"/>
  </r>
  <r>
    <x v="976"/>
    <x v="328"/>
    <x v="1"/>
    <x v="0"/>
    <x v="0"/>
    <x v="0"/>
    <x v="2"/>
    <x v="650"/>
    <x v="5"/>
    <x v="239"/>
    <x v="0"/>
  </r>
  <r>
    <x v="977"/>
    <x v="174"/>
    <x v="2"/>
    <x v="0"/>
    <x v="0"/>
    <x v="0"/>
    <x v="2"/>
    <x v="750"/>
    <x v="3"/>
    <x v="352"/>
    <x v="0"/>
  </r>
  <r>
    <x v="978"/>
    <x v="318"/>
    <x v="3"/>
    <x v="0"/>
    <x v="0"/>
    <x v="1"/>
    <x v="4"/>
    <x v="752"/>
    <x v="1"/>
    <x v="885"/>
    <x v="0"/>
  </r>
  <r>
    <x v="979"/>
    <x v="339"/>
    <x v="6"/>
    <x v="7"/>
    <x v="1"/>
    <x v="0"/>
    <x v="4"/>
    <x v="565"/>
    <x v="2"/>
    <x v="961"/>
    <x v="1"/>
  </r>
  <r>
    <x v="980"/>
    <x v="151"/>
    <x v="3"/>
    <x v="5"/>
    <x v="1"/>
    <x v="1"/>
    <x v="3"/>
    <x v="906"/>
    <x v="3"/>
    <x v="455"/>
    <x v="1"/>
  </r>
  <r>
    <x v="981"/>
    <x v="301"/>
    <x v="0"/>
    <x v="0"/>
    <x v="0"/>
    <x v="1"/>
    <x v="6"/>
    <x v="821"/>
    <x v="0"/>
    <x v="315"/>
    <x v="0"/>
  </r>
  <r>
    <x v="982"/>
    <x v="67"/>
    <x v="3"/>
    <x v="5"/>
    <x v="1"/>
    <x v="1"/>
    <x v="6"/>
    <x v="756"/>
    <x v="3"/>
    <x v="541"/>
    <x v="1"/>
  </r>
  <r>
    <x v="983"/>
    <x v="215"/>
    <x v="0"/>
    <x v="2"/>
    <x v="1"/>
    <x v="2"/>
    <x v="3"/>
    <x v="53"/>
    <x v="2"/>
    <x v="685"/>
    <x v="1"/>
  </r>
  <r>
    <x v="984"/>
    <x v="207"/>
    <x v="8"/>
    <x v="0"/>
    <x v="0"/>
    <x v="3"/>
    <x v="2"/>
    <x v="5"/>
    <x v="2"/>
    <x v="260"/>
    <x v="0"/>
  </r>
  <r>
    <x v="985"/>
    <x v="295"/>
    <x v="1"/>
    <x v="6"/>
    <x v="1"/>
    <x v="2"/>
    <x v="2"/>
    <x v="211"/>
    <x v="0"/>
    <x v="728"/>
    <x v="1"/>
  </r>
  <r>
    <x v="986"/>
    <x v="54"/>
    <x v="0"/>
    <x v="5"/>
    <x v="1"/>
    <x v="3"/>
    <x v="0"/>
    <x v="654"/>
    <x v="3"/>
    <x v="46"/>
    <x v="1"/>
  </r>
  <r>
    <x v="987"/>
    <x v="310"/>
    <x v="2"/>
    <x v="5"/>
    <x v="1"/>
    <x v="3"/>
    <x v="0"/>
    <x v="416"/>
    <x v="3"/>
    <x v="42"/>
    <x v="1"/>
  </r>
  <r>
    <x v="988"/>
    <x v="205"/>
    <x v="5"/>
    <x v="6"/>
    <x v="1"/>
    <x v="1"/>
    <x v="6"/>
    <x v="408"/>
    <x v="0"/>
    <x v="389"/>
    <x v="1"/>
  </r>
  <r>
    <x v="989"/>
    <x v="33"/>
    <x v="1"/>
    <x v="0"/>
    <x v="0"/>
    <x v="0"/>
    <x v="3"/>
    <x v="888"/>
    <x v="3"/>
    <x v="357"/>
    <x v="0"/>
  </r>
  <r>
    <x v="990"/>
    <x v="257"/>
    <x v="0"/>
    <x v="6"/>
    <x v="1"/>
    <x v="1"/>
    <x v="5"/>
    <x v="899"/>
    <x v="5"/>
    <x v="307"/>
    <x v="1"/>
  </r>
  <r>
    <x v="991"/>
    <x v="182"/>
    <x v="1"/>
    <x v="5"/>
    <x v="1"/>
    <x v="0"/>
    <x v="5"/>
    <x v="912"/>
    <x v="0"/>
    <x v="507"/>
    <x v="1"/>
  </r>
  <r>
    <x v="992"/>
    <x v="326"/>
    <x v="6"/>
    <x v="6"/>
    <x v="1"/>
    <x v="3"/>
    <x v="3"/>
    <x v="327"/>
    <x v="1"/>
    <x v="313"/>
    <x v="1"/>
  </r>
  <r>
    <x v="993"/>
    <x v="224"/>
    <x v="1"/>
    <x v="5"/>
    <x v="1"/>
    <x v="1"/>
    <x v="0"/>
    <x v="683"/>
    <x v="2"/>
    <x v="183"/>
    <x v="1"/>
  </r>
  <r>
    <x v="994"/>
    <x v="300"/>
    <x v="1"/>
    <x v="5"/>
    <x v="1"/>
    <x v="0"/>
    <x v="6"/>
    <x v="282"/>
    <x v="1"/>
    <x v="299"/>
    <x v="1"/>
  </r>
  <r>
    <x v="995"/>
    <x v="203"/>
    <x v="8"/>
    <x v="2"/>
    <x v="1"/>
    <x v="2"/>
    <x v="6"/>
    <x v="183"/>
    <x v="5"/>
    <x v="970"/>
    <x v="1"/>
  </r>
  <r>
    <x v="996"/>
    <x v="178"/>
    <x v="2"/>
    <x v="4"/>
    <x v="1"/>
    <x v="0"/>
    <x v="0"/>
    <x v="174"/>
    <x v="5"/>
    <x v="419"/>
    <x v="1"/>
  </r>
  <r>
    <x v="997"/>
    <x v="16"/>
    <x v="4"/>
    <x v="5"/>
    <x v="1"/>
    <x v="1"/>
    <x v="5"/>
    <x v="350"/>
    <x v="4"/>
    <x v="458"/>
    <x v="1"/>
  </r>
  <r>
    <x v="998"/>
    <x v="11"/>
    <x v="4"/>
    <x v="0"/>
    <x v="0"/>
    <x v="2"/>
    <x v="1"/>
    <x v="432"/>
    <x v="4"/>
    <x v="593"/>
    <x v="0"/>
  </r>
  <r>
    <x v="999"/>
    <x v="179"/>
    <x v="0"/>
    <x v="3"/>
    <x v="1"/>
    <x v="0"/>
    <x v="1"/>
    <x v="833"/>
    <x v="4"/>
    <x v="982"/>
    <x v="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9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0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100-000009000000}" name="PivotTable9" cacheId="15" applyNumberFormats="0" applyBorderFormats="0" applyFontFormats="0" applyPatternFormats="0" applyAlignmentFormats="0" applyWidthHeightFormats="0" dataCaption="Values" updatedVersion="8" itemPrintTitles="1" indent="0" outline="1" outlineData="1" multipleFieldFilters="0">
  <location ref="G25:H30" firstHeaderRow="1" firstDataRow="1" firstDataCol="1"/>
  <pivotFields count="12">
    <pivotField showAll="0"/>
    <pivotField showAll="0">
      <items count="34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t="default"/>
      </items>
    </pivotField>
    <pivotField showAll="0"/>
    <pivotField showAll="0"/>
    <pivotField showAll="0"/>
    <pivotField axis="axisRow" showAll="0">
      <items count="5">
        <item x="0"/>
        <item x="1"/>
        <item x="2"/>
        <item x="3"/>
        <item t="default"/>
      </items>
    </pivotField>
    <pivotField showAll="0"/>
    <pivotField showAll="0"/>
    <pivotField showAll="0"/>
    <pivotField dataField="1" showAll="0"/>
    <pivotField showAll="0"/>
    <pivotField showAll="0" includeNewItemsInFilter="1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</pivotFields>
  <rowFields count="1">
    <field x="5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Sum of Profit" fld="9" baseField="0" baseItem="0" numFmtId="14"/>
  </dataFields>
  <pivotTableStyleInfo name="PivotStyleLight1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100-000008000000}" name="PivotTable10" cacheId="12" applyNumberFormats="0" applyBorderFormats="0" applyFontFormats="0" applyPatternFormats="0" applyAlignmentFormats="0" applyWidthHeightFormats="0" dataCaption="Values" itemPrintTitles="1" indent="0" outline="1" outlineData="1" multipleFieldFilters="0">
  <location ref="A45:A46" firstHeaderRow="1" firstDataRow="1" firstDataCol="0"/>
  <pivotFields count="11"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</pivotFields>
  <rowItems count="1">
    <i t="grand"/>
  </rowItems>
  <colItems count="1">
    <i t="grand"/>
  </colItems>
  <dataFields count="1">
    <dataField name="Sum of Profit" fld="9" baseField="0" baseItem="0" numFmtId="14"/>
  </dataFields>
  <pivotTableStyleInfo name="PivotStyleLight1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100-000007000000}" name="PivotTable1" cacheId="15" applyNumberFormats="0" applyBorderFormats="0" applyFontFormats="0" applyPatternFormats="0" applyAlignmentFormats="0" applyWidthHeightFormats="0" dataCaption="Values" updatedVersion="8" itemPrintTitles="1" indent="0" outline="1" outlineData="1" multipleFieldFilters="0">
  <location ref="A3:A4" firstHeaderRow="1" firstDataRow="1" firstDataCol="0"/>
  <pivotFields count="12">
    <pivotField showAll="0"/>
    <pivotField showAll="0">
      <items count="34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t="default"/>
      </items>
    </pivotField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 includeNewItemsInFilter="1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</pivotFields>
  <rowItems count="1">
    <i/>
  </rowItems>
  <colItems count="1">
    <i/>
  </colItems>
  <dataFields count="1">
    <dataField name="Sum of Sales" fld="7" baseField="0" baseItem="0" numFmtId="2"/>
  </dataFields>
  <formats count="1">
    <format dxfId="15">
      <pivotArea outline="0" fieldPosition="0"/>
    </format>
  </formats>
  <pivotTableStyleInfo name="PivotStyleLight1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100-000006000000}" name="PivotTable6" cacheId="15" applyNumberFormats="0" applyBorderFormats="0" applyFontFormats="0" applyPatternFormats="0" applyAlignmentFormats="0" applyWidthHeightFormats="0" dataCaption="Values" updatedVersion="8" itemPrintTitles="1" indent="0" outline="1" outlineData="1" multipleFieldFilters="0">
  <location ref="G8:H21" firstHeaderRow="1" firstDataRow="1" firstDataCol="1"/>
  <pivotFields count="12">
    <pivotField showAll="0"/>
    <pivotField showAll="0">
      <items count="34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t="default"/>
      </items>
    </pivotField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axis="axisRow" showAll="0" includeNewItemsInFilter="1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</pivotFields>
  <rowFields count="1">
    <field x="11"/>
  </rowFields>
  <rowItems count="13"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 t="grand">
      <x/>
    </i>
  </rowItems>
  <colItems count="1">
    <i/>
  </colItems>
  <dataFields count="1">
    <dataField name="Sum of Sales" fld="7" baseField="0" baseItem="0" numFmtId="2"/>
  </dataFields>
  <formats count="2">
    <format dxfId="14">
      <pivotArea outline="0" fieldPosition="0"/>
    </format>
    <format dxfId="13">
      <pivotArea dataOnly="0" labelOnly="1" outline="0" axis="axisValues" fieldPosition="0"/>
    </format>
  </formats>
  <pivotTableStyleInfo name="PivotStyleLight1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100-000005000000}" name="PivotTable2" cacheId="15" applyNumberFormats="0" applyBorderFormats="0" applyFontFormats="0" applyPatternFormats="0" applyAlignmentFormats="0" applyWidthHeightFormats="0" dataCaption="Values" updatedVersion="8" itemPrintTitles="1" indent="0" outline="1" outlineData="1" multipleFieldFilters="0">
  <location ref="D2:D3" firstHeaderRow="1" firstDataRow="1" firstDataCol="0"/>
  <pivotFields count="12">
    <pivotField dataField="1" showAll="0"/>
    <pivotField showAll="0">
      <items count="34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 includeNewItemsInFilter="1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</pivotFields>
  <rowItems count="1">
    <i/>
  </rowItems>
  <colItems count="1">
    <i/>
  </colItems>
  <dataFields count="1">
    <dataField name="Count of Order_ID" fld="0" subtotal="count" baseField="0" baseItem="0" numFmtId="14"/>
  </dataFields>
  <pivotTableStyleInfo name="PivotStyleLight1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100-000004000000}" name="PivotTable4" cacheId="15" applyNumberFormats="0" applyBorderFormats="0" applyFontFormats="0" applyPatternFormats="0" applyAlignmentFormats="0" applyWidthHeightFormats="0" dataCaption="Values" updatedVersion="8" itemPrintTitles="1" indent="0" outline="1" outlineData="1" multipleFieldFilters="0">
  <location ref="A8:B11" firstHeaderRow="1" firstDataRow="1" firstDataCol="1"/>
  <pivotFields count="12">
    <pivotField showAll="0"/>
    <pivotField showAll="0">
      <items count="34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t="default"/>
      </items>
    </pivotField>
    <pivotField showAll="0"/>
    <pivotField showAll="0"/>
    <pivotField axis="axisRow" showAll="0">
      <items count="3">
        <item x="0"/>
        <item x="1"/>
        <item t="default"/>
      </items>
    </pivotField>
    <pivotField showAll="0"/>
    <pivotField showAll="0"/>
    <pivotField dataField="1" showAll="0"/>
    <pivotField showAll="0"/>
    <pivotField showAll="0"/>
    <pivotField showAll="0"/>
    <pivotField showAll="0" includeNewItemsInFilter="1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</pivotFields>
  <rowFields count="1">
    <field x="4"/>
  </rowFields>
  <rowItems count="3">
    <i>
      <x/>
    </i>
    <i>
      <x v="1"/>
    </i>
    <i t="grand">
      <x/>
    </i>
  </rowItems>
  <colItems count="1">
    <i/>
  </colItems>
  <dataFields count="1">
    <dataField name="Sum of Sales" fld="7" baseField="0" baseItem="0" numFmtId="2"/>
  </dataFields>
  <formats count="2">
    <format dxfId="8">
      <pivotArea outline="0" fieldPosition="0"/>
    </format>
    <format dxfId="7">
      <pivotArea dataOnly="0" labelOnly="1" outline="0" axis="axisValues" fieldPosition="0"/>
    </format>
  </formats>
  <pivotTableStyleInfo name="PivotStyleLight1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100-000003000000}" name="PivotTable3" cacheId="15" applyNumberFormats="0" applyBorderFormats="0" applyFontFormats="0" applyPatternFormats="0" applyAlignmentFormats="0" applyWidthHeightFormats="0" dataCaption="Values" updatedVersion="8" itemPrintTitles="1" indent="0" outline="1" outlineData="1" multipleFieldFilters="0">
  <location ref="G2:G3" firstHeaderRow="1" firstDataRow="1" firstDataCol="0"/>
  <pivotFields count="12">
    <pivotField showAll="0"/>
    <pivotField showAll="0">
      <items count="34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t="default"/>
      </items>
    </pivotField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 includeNewItemsInFilter="1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</pivotFields>
  <rowItems count="1">
    <i/>
  </rowItems>
  <colItems count="1">
    <i/>
  </colItems>
  <dataFields count="1">
    <dataField name="Sum of Quantity" fld="6" baseField="0" baseItem="0" numFmtId="14"/>
  </dataFields>
  <pivotTableStyleInfo name="PivotStyleLight1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pivotTables/pivotTable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100-000002000000}" name="PivotTable5" cacheId="15" applyNumberFormats="0" applyBorderFormats="0" applyFontFormats="0" applyPatternFormats="0" applyAlignmentFormats="0" applyWidthHeightFormats="0" dataCaption="Values" updatedVersion="8" itemPrintTitles="1" indent="0" outline="1" outlineData="1" multipleFieldFilters="0">
  <location ref="D8:E13" firstHeaderRow="1" firstDataRow="1" firstDataCol="1"/>
  <pivotFields count="12">
    <pivotField showAll="0"/>
    <pivotField showAll="0">
      <items count="34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t="default"/>
      </items>
    </pivotField>
    <pivotField showAll="0"/>
    <pivotField showAll="0"/>
    <pivotField showAll="0"/>
    <pivotField axis="axisRow" showAll="0">
      <items count="5">
        <item x="0"/>
        <item x="1"/>
        <item x="2"/>
        <item x="3"/>
        <item t="default"/>
      </items>
    </pivotField>
    <pivotField showAll="0"/>
    <pivotField dataField="1" showAll="0"/>
    <pivotField showAll="0"/>
    <pivotField showAll="0"/>
    <pivotField showAll="0"/>
    <pivotField showAll="0" includeNewItemsInFilter="1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</pivotFields>
  <rowFields count="1">
    <field x="5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Sum of Sales" fld="7" baseField="0" baseItem="0" numFmtId="2"/>
  </dataFields>
  <formats count="2">
    <format dxfId="11">
      <pivotArea outline="0" fieldPosition="0"/>
    </format>
    <format dxfId="10">
      <pivotArea dataOnly="0" labelOnly="1" outline="0" axis="axisValues" fieldPosition="0"/>
    </format>
  </formats>
  <pivotTableStyleInfo name="PivotStyleLight1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pivotTables/pivotTable9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100-000001000000}" name="PivotTable7" cacheId="15" applyNumberFormats="0" applyBorderFormats="0" applyFontFormats="0" applyPatternFormats="0" applyAlignmentFormats="0" applyWidthHeightFormats="0" dataCaption="Values" updatedVersion="8" itemPrintTitles="1" indent="0" outline="1" outlineData="1" multipleFieldFilters="0">
  <location ref="A25:B35" firstHeaderRow="1" firstDataRow="1" firstDataCol="1"/>
  <pivotFields count="12">
    <pivotField showAll="0"/>
    <pivotField showAll="0">
      <items count="34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t="default"/>
      </items>
    </pivotField>
    <pivotField axis="axisRow" showAll="0">
      <items count="10">
        <item x="0"/>
        <item x="1"/>
        <item x="2"/>
        <item x="3"/>
        <item x="4"/>
        <item x="5"/>
        <item x="6"/>
        <item x="7"/>
        <item x="8"/>
        <item t="default"/>
      </items>
    </pivotField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 includeNewItemsInFilter="1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</pivotFields>
  <rowFields count="1">
    <field x="2"/>
  </rowFields>
  <rowItems count="10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 t="grand">
      <x/>
    </i>
  </rowItems>
  <colItems count="1">
    <i/>
  </colItems>
  <dataFields count="1">
    <dataField name="Sum of Sales" fld="7" baseField="0" baseItem="0" numFmtId="2"/>
  </dataFields>
  <formats count="2">
    <format dxfId="5">
      <pivotArea outline="0" fieldPosition="0"/>
    </format>
    <format dxfId="4">
      <pivotArea dataOnly="0" labelOnly="1" outline="0" axis="axisValues" fieldPosition="0"/>
    </format>
  </formats>
  <pivotTableStyleInfo name="PivotStyleLight1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pivotTables/pivotTable10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100-000000000000}" name="PivotTable8" cacheId="15" applyNumberFormats="0" applyBorderFormats="0" applyFontFormats="0" applyPatternFormats="0" applyAlignmentFormats="0" applyWidthHeightFormats="0" dataCaption="Values" updatedVersion="8" itemPrintTitles="1" indent="0" outline="1" outlineData="1" multipleFieldFilters="0">
  <location ref="D25:E28" firstHeaderRow="1" firstDataRow="1" firstDataCol="1"/>
  <pivotFields count="12">
    <pivotField showAll="0"/>
    <pivotField showAll="0">
      <items count="34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t="default"/>
      </items>
    </pivotField>
    <pivotField showAll="0"/>
    <pivotField showAll="0"/>
    <pivotField axis="axisRow" showAll="0">
      <items count="3">
        <item x="0"/>
        <item x="1"/>
        <item t="default"/>
      </items>
    </pivotField>
    <pivotField showAll="0"/>
    <pivotField showAll="0"/>
    <pivotField showAll="0"/>
    <pivotField showAll="0"/>
    <pivotField dataField="1" showAll="0"/>
    <pivotField showAll="0"/>
    <pivotField showAll="0" includeNewItemsInFilter="1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</pivotFields>
  <rowFields count="1">
    <field x="4"/>
  </rowFields>
  <rowItems count="3">
    <i>
      <x/>
    </i>
    <i>
      <x v="1"/>
    </i>
    <i t="grand">
      <x/>
    </i>
  </rowItems>
  <colItems count="1">
    <i/>
  </colItems>
  <dataFields count="1">
    <dataField name="Sum of Profit" fld="9" baseField="0" baseItem="0" numFmtId="2"/>
  </dataFields>
  <formats count="2">
    <format dxfId="2">
      <pivotArea outline="0" fieldPosition="0"/>
    </format>
    <format dxfId="1">
      <pivotArea dataOnly="0" labelOnly="1" outline="0" axis="axisValues" fieldPosition="0"/>
    </format>
  </formats>
  <pivotTableStyleInfo name="PivotStyleLight1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1" displayName="Table1" ref="A1:K1001" totalsRowShown="0">
  <autoFilter ref="A1:K1001" xr:uid="{00000000-000C-0000-FFFF-FFFF00000000}"/>
  <tableColumns count="11">
    <tableColumn id="1" xr3:uid="{00000000-0010-0000-0000-000001000000}" name="Order_ID"/>
    <tableColumn id="2" xr3:uid="{00000000-0010-0000-0000-000002000000}" name="Order_Date"/>
    <tableColumn id="3" xr3:uid="{00000000-0010-0000-0000-000003000000}" name="Customer"/>
    <tableColumn id="4" xr3:uid="{00000000-0010-0000-0000-000004000000}" name="Product"/>
    <tableColumn id="5" xr3:uid="{00000000-0010-0000-0000-000005000000}" name="Category"/>
    <tableColumn id="6" xr3:uid="{00000000-0010-0000-0000-000006000000}" name="Region"/>
    <tableColumn id="7" xr3:uid="{00000000-0010-0000-0000-000007000000}" name="Quantity"/>
    <tableColumn id="8" xr3:uid="{00000000-0010-0000-0000-000008000000}" name="Sales"/>
    <tableColumn id="9" xr3:uid="{00000000-0010-0000-0000-000009000000}" name="Discount"/>
    <tableColumn id="10" xr3:uid="{00000000-0010-0000-0000-00000A000000}" name="Profit"/>
    <tableColumn id="11" xr3:uid="{00000000-0010-0000-0000-00000B000000}" name="clean category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</a:majorFont>
      <a:minorFont>
        <a:latin typeface="Calibri" panose="020F0502020204030204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pivotTable" Target="../pivotTables/pivotTable8.xml"/><Relationship Id="rId3" Type="http://schemas.openxmlformats.org/officeDocument/2006/relationships/pivotTable" Target="../pivotTables/pivotTable3.xml"/><Relationship Id="rId7" Type="http://schemas.openxmlformats.org/officeDocument/2006/relationships/pivotTable" Target="../pivotTables/pivotTable7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6" Type="http://schemas.openxmlformats.org/officeDocument/2006/relationships/pivotTable" Target="../pivotTables/pivotTable6.xml"/><Relationship Id="rId5" Type="http://schemas.openxmlformats.org/officeDocument/2006/relationships/pivotTable" Target="../pivotTables/pivotTable5.xml"/><Relationship Id="rId10" Type="http://schemas.openxmlformats.org/officeDocument/2006/relationships/pivotTable" Target="../pivotTables/pivotTable10.xml"/><Relationship Id="rId4" Type="http://schemas.openxmlformats.org/officeDocument/2006/relationships/pivotTable" Target="../pivotTables/pivotTable4.xml"/><Relationship Id="rId9" Type="http://schemas.openxmlformats.org/officeDocument/2006/relationships/pivotTable" Target="../pivotTables/pivotTable9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1001"/>
  <sheetViews>
    <sheetView topLeftCell="B1" zoomScaleNormal="100" workbookViewId="0">
      <selection activeCell="M2" sqref="M2"/>
    </sheetView>
  </sheetViews>
  <sheetFormatPr defaultColWidth="9.140625" defaultRowHeight="15" customHeight="1" x14ac:dyDescent="0.25"/>
  <cols>
    <col min="1" max="1" width="11.140625" style="1" customWidth="1"/>
    <col min="2" max="2" width="13.42578125" style="1" customWidth="1"/>
    <col min="3" max="3" width="11.7109375" style="1" customWidth="1"/>
    <col min="4" max="4" width="12.140625" style="1" customWidth="1"/>
    <col min="5" max="5" width="11.140625" style="1" customWidth="1"/>
    <col min="6" max="6" width="9.28515625" style="1" customWidth="1"/>
    <col min="7" max="7" width="10.85546875" style="1" customWidth="1"/>
    <col min="8" max="8" width="9" style="1" customWidth="1"/>
    <col min="9" max="9" width="10.85546875" style="1" customWidth="1"/>
    <col min="10" max="10" width="9" style="1" customWidth="1"/>
    <col min="11" max="11" width="15.85546875" style="1" customWidth="1"/>
    <col min="12" max="12" width="9.140625" style="1" customWidth="1"/>
    <col min="13" max="13" width="14.5703125" style="1" customWidth="1"/>
    <col min="14" max="14" width="12" style="1" customWidth="1"/>
    <col min="15" max="15" width="16.28515625" style="1" customWidth="1"/>
    <col min="16" max="16" width="19.28515625" style="1" customWidth="1"/>
    <col min="17" max="17" width="17.140625" style="1" customWidth="1"/>
    <col min="18" max="18" width="22.140625" style="1" customWidth="1"/>
    <col min="19" max="19" width="21.5703125" style="1" customWidth="1"/>
    <col min="20" max="20" width="15.140625" style="1" customWidth="1"/>
    <col min="21" max="21" width="9.140625" style="1" customWidth="1"/>
    <col min="22" max="16384" width="9.140625" style="1"/>
  </cols>
  <sheetData>
    <row r="1" spans="1:19" ht="15" customHeight="1" x14ac:dyDescent="0.25">
      <c r="A1" s="1" t="s">
        <v>26</v>
      </c>
      <c r="B1" s="1" t="s">
        <v>7</v>
      </c>
      <c r="C1" s="1" t="s">
        <v>15</v>
      </c>
      <c r="D1" s="1" t="s">
        <v>27</v>
      </c>
      <c r="E1" s="1" t="s">
        <v>5</v>
      </c>
      <c r="F1" s="1" t="s">
        <v>6</v>
      </c>
      <c r="G1" s="1" t="s">
        <v>28</v>
      </c>
      <c r="H1" s="1" t="s">
        <v>29</v>
      </c>
      <c r="I1" s="1" t="s">
        <v>30</v>
      </c>
      <c r="J1" s="1" t="s">
        <v>31</v>
      </c>
      <c r="K1" s="1" t="s">
        <v>32</v>
      </c>
    </row>
    <row r="2" spans="1:19" ht="15" customHeight="1" x14ac:dyDescent="0.25">
      <c r="A2" s="1">
        <v>10001</v>
      </c>
      <c r="B2" s="2">
        <v>45802</v>
      </c>
      <c r="C2" s="1" t="s">
        <v>18</v>
      </c>
      <c r="D2" s="1" t="s">
        <v>33</v>
      </c>
      <c r="E2" s="1" t="s">
        <v>8</v>
      </c>
      <c r="F2" s="1" t="s">
        <v>12</v>
      </c>
      <c r="G2" s="1">
        <v>3</v>
      </c>
      <c r="H2" s="1">
        <v>11474.08</v>
      </c>
      <c r="I2" s="1">
        <v>0.25</v>
      </c>
      <c r="J2" s="1">
        <v>1208.74</v>
      </c>
      <c r="K2" s="1" t="s">
        <v>8</v>
      </c>
      <c r="Q2" s="3"/>
      <c r="R2" s="3"/>
      <c r="S2" s="3"/>
    </row>
    <row r="3" spans="1:19" ht="15" customHeight="1" x14ac:dyDescent="0.25">
      <c r="A3" s="1">
        <v>10002</v>
      </c>
      <c r="B3" s="2">
        <v>45858</v>
      </c>
      <c r="C3" s="1" t="s">
        <v>20</v>
      </c>
      <c r="D3" s="1" t="s">
        <v>34</v>
      </c>
      <c r="E3" s="1" t="s">
        <v>10</v>
      </c>
      <c r="F3" s="1" t="s">
        <v>11</v>
      </c>
      <c r="G3" s="1">
        <v>7</v>
      </c>
      <c r="H3" s="1">
        <v>1084.2</v>
      </c>
      <c r="I3" s="1">
        <v>0.2</v>
      </c>
      <c r="J3" s="1">
        <v>2189.4299999999998</v>
      </c>
      <c r="K3" s="1" t="s">
        <v>10</v>
      </c>
      <c r="Q3" s="3"/>
      <c r="R3" s="3"/>
      <c r="S3" s="3"/>
    </row>
    <row r="4" spans="1:19" ht="15" customHeight="1" x14ac:dyDescent="0.25">
      <c r="A4" s="1">
        <v>10003</v>
      </c>
      <c r="B4" s="2">
        <v>45869</v>
      </c>
      <c r="C4" s="1" t="s">
        <v>23</v>
      </c>
      <c r="D4" s="1" t="s">
        <v>35</v>
      </c>
      <c r="E4" s="1" t="s">
        <v>10</v>
      </c>
      <c r="F4" s="1" t="s">
        <v>11</v>
      </c>
      <c r="G4" s="1">
        <v>3</v>
      </c>
      <c r="H4" s="1">
        <v>47503.67</v>
      </c>
      <c r="I4" s="1">
        <v>0.25</v>
      </c>
      <c r="J4" s="1">
        <v>9580.2900000000009</v>
      </c>
      <c r="K4" s="1" t="s">
        <v>10</v>
      </c>
      <c r="Q4" s="3"/>
      <c r="R4" s="3"/>
      <c r="S4" s="3"/>
    </row>
    <row r="5" spans="1:19" ht="15" customHeight="1" x14ac:dyDescent="0.25">
      <c r="A5" s="1">
        <v>10004</v>
      </c>
      <c r="B5" s="2">
        <v>45877</v>
      </c>
      <c r="C5" s="1" t="s">
        <v>21</v>
      </c>
      <c r="D5" s="1" t="s">
        <v>33</v>
      </c>
      <c r="E5" s="1" t="s">
        <v>8</v>
      </c>
      <c r="F5" s="1" t="s">
        <v>11</v>
      </c>
      <c r="G5" s="1">
        <v>3</v>
      </c>
      <c r="H5" s="1">
        <v>33851.67</v>
      </c>
      <c r="I5" s="1">
        <v>0.2</v>
      </c>
      <c r="J5" s="1">
        <v>8146.67</v>
      </c>
      <c r="K5" s="1" t="s">
        <v>8</v>
      </c>
      <c r="Q5" s="3"/>
      <c r="R5" s="3"/>
      <c r="S5" s="3"/>
    </row>
    <row r="6" spans="1:19" ht="15" customHeight="1" x14ac:dyDescent="0.25">
      <c r="A6" s="1">
        <v>10005</v>
      </c>
      <c r="B6" s="2">
        <v>45897</v>
      </c>
      <c r="C6" s="1" t="s">
        <v>20</v>
      </c>
      <c r="D6" s="1" t="s">
        <v>36</v>
      </c>
      <c r="E6" s="1" t="s">
        <v>10</v>
      </c>
      <c r="F6" s="1" t="s">
        <v>12</v>
      </c>
      <c r="G6" s="1">
        <v>2</v>
      </c>
      <c r="H6" s="1">
        <v>10503.48</v>
      </c>
      <c r="I6" s="1">
        <v>0</v>
      </c>
      <c r="J6" s="1">
        <v>6585.8</v>
      </c>
      <c r="K6" s="1" t="s">
        <v>10</v>
      </c>
      <c r="P6" s="3"/>
      <c r="Q6" s="3"/>
      <c r="R6" s="3"/>
    </row>
    <row r="7" spans="1:19" ht="15" customHeight="1" x14ac:dyDescent="0.25">
      <c r="A7" s="1">
        <v>10006</v>
      </c>
      <c r="B7" s="2">
        <v>45703</v>
      </c>
      <c r="C7" s="1" t="s">
        <v>20</v>
      </c>
      <c r="D7" s="1" t="s">
        <v>37</v>
      </c>
      <c r="E7" s="1" t="s">
        <v>8</v>
      </c>
      <c r="F7" s="1" t="s">
        <v>13</v>
      </c>
      <c r="G7" s="1">
        <v>6</v>
      </c>
      <c r="H7" s="1">
        <v>71866.09</v>
      </c>
      <c r="I7" s="1">
        <v>0.15</v>
      </c>
      <c r="J7" s="1">
        <v>5727.32</v>
      </c>
      <c r="K7" s="1" t="s">
        <v>8</v>
      </c>
      <c r="Q7" s="3"/>
      <c r="R7" s="3"/>
      <c r="S7" s="3"/>
    </row>
    <row r="8" spans="1:19" ht="15" customHeight="1" x14ac:dyDescent="0.25">
      <c r="A8" s="1">
        <v>10007</v>
      </c>
      <c r="B8" s="2">
        <v>45692</v>
      </c>
      <c r="C8" s="1" t="s">
        <v>18</v>
      </c>
      <c r="D8" s="1" t="s">
        <v>35</v>
      </c>
      <c r="E8" s="1" t="s">
        <v>10</v>
      </c>
      <c r="F8" s="1" t="s">
        <v>11</v>
      </c>
      <c r="G8" s="1">
        <v>6</v>
      </c>
      <c r="H8" s="1">
        <v>39959.65</v>
      </c>
      <c r="I8" s="1">
        <v>0.25</v>
      </c>
      <c r="J8" s="1">
        <v>11073.09</v>
      </c>
      <c r="K8" s="1" t="s">
        <v>10</v>
      </c>
      <c r="Q8" s="3"/>
      <c r="R8" s="3"/>
      <c r="S8" s="3"/>
    </row>
    <row r="9" spans="1:19" ht="15" customHeight="1" x14ac:dyDescent="0.25">
      <c r="A9" s="1">
        <v>10008</v>
      </c>
      <c r="B9" s="2">
        <v>45910</v>
      </c>
      <c r="C9" s="1" t="s">
        <v>23</v>
      </c>
      <c r="D9" s="1" t="s">
        <v>35</v>
      </c>
      <c r="E9" s="1" t="s">
        <v>10</v>
      </c>
      <c r="F9" s="1" t="s">
        <v>12</v>
      </c>
      <c r="G9" s="1">
        <v>6</v>
      </c>
      <c r="H9" s="1">
        <v>18521.05</v>
      </c>
      <c r="I9" s="1">
        <v>0.2</v>
      </c>
      <c r="J9" s="1">
        <v>919.18</v>
      </c>
      <c r="K9" s="1" t="s">
        <v>10</v>
      </c>
      <c r="Q9" s="3"/>
      <c r="R9" s="3"/>
      <c r="S9" s="3"/>
    </row>
    <row r="10" spans="1:19" ht="15" customHeight="1" x14ac:dyDescent="0.25">
      <c r="A10" s="1">
        <v>10009</v>
      </c>
      <c r="B10" s="2">
        <v>45739</v>
      </c>
      <c r="C10" s="1" t="s">
        <v>22</v>
      </c>
      <c r="D10" s="1" t="s">
        <v>33</v>
      </c>
      <c r="E10" s="1" t="s">
        <v>8</v>
      </c>
      <c r="F10" s="1" t="s">
        <v>13</v>
      </c>
      <c r="G10" s="1">
        <v>4</v>
      </c>
      <c r="H10" s="1">
        <v>37794.97</v>
      </c>
      <c r="I10" s="1">
        <v>0.05</v>
      </c>
      <c r="J10" s="1">
        <v>3403.18</v>
      </c>
      <c r="K10" s="1" t="s">
        <v>8</v>
      </c>
      <c r="Q10" s="3"/>
      <c r="R10" s="3"/>
      <c r="S10" s="3"/>
    </row>
    <row r="11" spans="1:19" ht="15" customHeight="1" x14ac:dyDescent="0.25">
      <c r="A11" s="1">
        <v>10010</v>
      </c>
      <c r="B11" s="2">
        <v>45913</v>
      </c>
      <c r="C11" s="1" t="s">
        <v>25</v>
      </c>
      <c r="D11" s="1" t="s">
        <v>38</v>
      </c>
      <c r="E11" s="1" t="s">
        <v>10</v>
      </c>
      <c r="F11" s="1" t="s">
        <v>11</v>
      </c>
      <c r="G11" s="1">
        <v>5</v>
      </c>
      <c r="H11" s="1">
        <v>51131.71</v>
      </c>
      <c r="I11" s="1">
        <v>0.05</v>
      </c>
      <c r="J11" s="1">
        <v>4231.76</v>
      </c>
      <c r="K11" s="1" t="s">
        <v>10</v>
      </c>
    </row>
    <row r="12" spans="1:19" ht="15" customHeight="1" x14ac:dyDescent="0.25">
      <c r="A12" s="1">
        <v>10011</v>
      </c>
      <c r="B12" s="2">
        <v>45854</v>
      </c>
      <c r="C12" s="1" t="s">
        <v>19</v>
      </c>
      <c r="D12" s="1" t="s">
        <v>36</v>
      </c>
      <c r="E12" s="1" t="s">
        <v>10</v>
      </c>
      <c r="F12" s="1" t="s">
        <v>9</v>
      </c>
      <c r="G12" s="1">
        <v>6</v>
      </c>
      <c r="H12" s="1">
        <v>6179.82</v>
      </c>
      <c r="I12" s="1">
        <v>0.25</v>
      </c>
      <c r="J12" s="1">
        <v>9399.99</v>
      </c>
      <c r="K12" s="1" t="s">
        <v>10</v>
      </c>
    </row>
    <row r="13" spans="1:19" ht="15" customHeight="1" x14ac:dyDescent="0.25">
      <c r="A13" s="1">
        <v>10012</v>
      </c>
      <c r="B13" s="2">
        <v>45960</v>
      </c>
      <c r="C13" s="1" t="s">
        <v>19</v>
      </c>
      <c r="D13" s="1" t="s">
        <v>33</v>
      </c>
      <c r="E13" s="1" t="s">
        <v>8</v>
      </c>
      <c r="F13" s="1" t="s">
        <v>13</v>
      </c>
      <c r="G13" s="1">
        <v>3</v>
      </c>
      <c r="H13" s="1">
        <v>20965.43</v>
      </c>
      <c r="I13" s="1">
        <v>0.15</v>
      </c>
      <c r="J13" s="1">
        <v>11910.55</v>
      </c>
      <c r="K13" s="1" t="s">
        <v>8</v>
      </c>
    </row>
    <row r="14" spans="1:19" ht="15" customHeight="1" x14ac:dyDescent="0.25">
      <c r="A14" s="1">
        <v>10013</v>
      </c>
      <c r="B14" s="2">
        <v>45667</v>
      </c>
      <c r="C14" s="1" t="s">
        <v>21</v>
      </c>
      <c r="D14" s="1" t="s">
        <v>36</v>
      </c>
      <c r="E14" s="1" t="s">
        <v>10</v>
      </c>
      <c r="F14" s="1" t="s">
        <v>11</v>
      </c>
      <c r="G14" s="1">
        <v>3</v>
      </c>
      <c r="H14" s="1">
        <v>60618.93</v>
      </c>
      <c r="I14" s="1">
        <v>0.25</v>
      </c>
      <c r="J14" s="1">
        <v>2926.01</v>
      </c>
      <c r="K14" s="1" t="s">
        <v>10</v>
      </c>
    </row>
    <row r="15" spans="1:19" ht="15" customHeight="1" x14ac:dyDescent="0.25">
      <c r="A15" s="1">
        <v>10014</v>
      </c>
      <c r="B15" s="2">
        <v>45969</v>
      </c>
      <c r="C15" s="1" t="s">
        <v>21</v>
      </c>
      <c r="D15" s="1" t="s">
        <v>36</v>
      </c>
      <c r="E15" s="1" t="s">
        <v>10</v>
      </c>
      <c r="F15" s="1" t="s">
        <v>13</v>
      </c>
      <c r="G15" s="1">
        <v>6</v>
      </c>
      <c r="H15" s="1">
        <v>34745.03</v>
      </c>
      <c r="I15" s="1">
        <v>0</v>
      </c>
      <c r="J15" s="1">
        <v>10497.97</v>
      </c>
      <c r="K15" s="1" t="s">
        <v>10</v>
      </c>
    </row>
    <row r="16" spans="1:19" ht="15" customHeight="1" x14ac:dyDescent="0.25">
      <c r="A16" s="1">
        <v>10015</v>
      </c>
      <c r="B16" s="2">
        <v>45943</v>
      </c>
      <c r="C16" s="1" t="s">
        <v>19</v>
      </c>
      <c r="D16" s="1" t="s">
        <v>37</v>
      </c>
      <c r="E16" s="1" t="s">
        <v>8</v>
      </c>
      <c r="F16" s="1" t="s">
        <v>13</v>
      </c>
      <c r="G16" s="1">
        <v>7</v>
      </c>
      <c r="H16" s="1">
        <v>41220</v>
      </c>
      <c r="I16" s="1">
        <v>0.2</v>
      </c>
      <c r="J16" s="1">
        <v>9975.94</v>
      </c>
      <c r="K16" s="1" t="s">
        <v>8</v>
      </c>
    </row>
    <row r="17" spans="1:11" ht="15" customHeight="1" x14ac:dyDescent="0.25">
      <c r="A17" s="1">
        <v>10016</v>
      </c>
      <c r="B17" s="2">
        <v>45899</v>
      </c>
      <c r="C17" s="1" t="s">
        <v>25</v>
      </c>
      <c r="D17" s="1" t="s">
        <v>35</v>
      </c>
      <c r="E17" s="1" t="s">
        <v>10</v>
      </c>
      <c r="F17" s="1" t="s">
        <v>13</v>
      </c>
      <c r="G17" s="1">
        <v>6</v>
      </c>
      <c r="H17" s="1">
        <v>32744.79</v>
      </c>
      <c r="I17" s="1">
        <v>0</v>
      </c>
      <c r="J17" s="1">
        <v>2734.66</v>
      </c>
      <c r="K17" s="1" t="s">
        <v>10</v>
      </c>
    </row>
    <row r="18" spans="1:11" ht="15" customHeight="1" x14ac:dyDescent="0.25">
      <c r="A18" s="1">
        <v>10017</v>
      </c>
      <c r="B18" s="2">
        <v>45908</v>
      </c>
      <c r="C18" s="1" t="s">
        <v>19</v>
      </c>
      <c r="D18" s="1" t="s">
        <v>34</v>
      </c>
      <c r="E18" s="1" t="s">
        <v>10</v>
      </c>
      <c r="F18" s="1" t="s">
        <v>13</v>
      </c>
      <c r="G18" s="1">
        <v>3</v>
      </c>
      <c r="H18" s="1">
        <v>3770.55</v>
      </c>
      <c r="I18" s="1">
        <v>0.05</v>
      </c>
      <c r="J18" s="1">
        <v>4822.0200000000004</v>
      </c>
      <c r="K18" s="1" t="s">
        <v>10</v>
      </c>
    </row>
    <row r="19" spans="1:11" ht="15" customHeight="1" x14ac:dyDescent="0.25">
      <c r="A19" s="1">
        <v>10018</v>
      </c>
      <c r="B19" s="2">
        <v>46022</v>
      </c>
      <c r="C19" s="1" t="s">
        <v>24</v>
      </c>
      <c r="D19" s="1" t="s">
        <v>37</v>
      </c>
      <c r="E19" s="1" t="s">
        <v>8</v>
      </c>
      <c r="F19" s="1" t="s">
        <v>13</v>
      </c>
      <c r="G19" s="1">
        <v>4</v>
      </c>
      <c r="H19" s="1">
        <v>12848.36</v>
      </c>
      <c r="I19" s="1">
        <v>0.2</v>
      </c>
      <c r="J19" s="1">
        <v>4945.59</v>
      </c>
      <c r="K19" s="1" t="s">
        <v>8</v>
      </c>
    </row>
    <row r="20" spans="1:11" ht="15" customHeight="1" x14ac:dyDescent="0.25">
      <c r="A20" s="1">
        <v>10019</v>
      </c>
      <c r="B20" s="2">
        <v>45662</v>
      </c>
      <c r="C20" s="1" t="s">
        <v>25</v>
      </c>
      <c r="D20" s="1" t="s">
        <v>37</v>
      </c>
      <c r="E20" s="1" t="s">
        <v>8</v>
      </c>
      <c r="F20" s="1" t="s">
        <v>13</v>
      </c>
      <c r="G20" s="1">
        <v>1</v>
      </c>
      <c r="H20" s="1">
        <v>33692.85</v>
      </c>
      <c r="I20" s="1">
        <v>0.25</v>
      </c>
      <c r="J20" s="1">
        <v>11739.74</v>
      </c>
      <c r="K20" s="1" t="s">
        <v>8</v>
      </c>
    </row>
    <row r="21" spans="1:11" ht="15" customHeight="1" x14ac:dyDescent="0.25">
      <c r="A21" s="1">
        <v>10020</v>
      </c>
      <c r="B21" s="2">
        <v>45776</v>
      </c>
      <c r="C21" s="1" t="s">
        <v>21</v>
      </c>
      <c r="D21" s="1" t="s">
        <v>36</v>
      </c>
      <c r="E21" s="1" t="s">
        <v>10</v>
      </c>
      <c r="F21" s="1" t="s">
        <v>11</v>
      </c>
      <c r="G21" s="1">
        <v>1</v>
      </c>
      <c r="H21" s="1">
        <v>16084.32</v>
      </c>
      <c r="I21" s="1">
        <v>0</v>
      </c>
      <c r="J21" s="1">
        <v>2211.66</v>
      </c>
      <c r="K21" s="1" t="s">
        <v>10</v>
      </c>
    </row>
    <row r="22" spans="1:11" ht="15" customHeight="1" x14ac:dyDescent="0.25">
      <c r="A22" s="1">
        <v>10021</v>
      </c>
      <c r="B22" s="2">
        <v>45946</v>
      </c>
      <c r="C22" s="1" t="s">
        <v>17</v>
      </c>
      <c r="D22" s="1" t="s">
        <v>39</v>
      </c>
      <c r="E22" s="1" t="s">
        <v>10</v>
      </c>
      <c r="F22" s="1" t="s">
        <v>9</v>
      </c>
      <c r="G22" s="1">
        <v>6</v>
      </c>
      <c r="H22" s="1">
        <v>4223.4399999999996</v>
      </c>
      <c r="I22" s="1">
        <v>0.1</v>
      </c>
      <c r="J22" s="1">
        <v>9599.94</v>
      </c>
      <c r="K22" s="1" t="s">
        <v>10</v>
      </c>
    </row>
    <row r="23" spans="1:11" ht="15" customHeight="1" x14ac:dyDescent="0.25">
      <c r="A23" s="1">
        <v>10022</v>
      </c>
      <c r="B23" s="2">
        <v>45722</v>
      </c>
      <c r="C23" s="1" t="s">
        <v>18</v>
      </c>
      <c r="D23" s="1" t="s">
        <v>35</v>
      </c>
      <c r="E23" s="1" t="s">
        <v>10</v>
      </c>
      <c r="F23" s="1" t="s">
        <v>12</v>
      </c>
      <c r="G23" s="1">
        <v>2</v>
      </c>
      <c r="H23" s="1">
        <v>63351.9</v>
      </c>
      <c r="I23" s="1">
        <v>0.15</v>
      </c>
      <c r="J23" s="1">
        <v>4043.6</v>
      </c>
      <c r="K23" s="1" t="s">
        <v>10</v>
      </c>
    </row>
    <row r="24" spans="1:11" ht="15" customHeight="1" x14ac:dyDescent="0.25">
      <c r="A24" s="1">
        <v>10023</v>
      </c>
      <c r="B24" s="2">
        <v>45803</v>
      </c>
      <c r="C24" s="1" t="s">
        <v>22</v>
      </c>
      <c r="D24" s="1" t="s">
        <v>38</v>
      </c>
      <c r="E24" s="1" t="s">
        <v>10</v>
      </c>
      <c r="F24" s="1" t="s">
        <v>13</v>
      </c>
      <c r="G24" s="1">
        <v>6</v>
      </c>
      <c r="H24" s="1">
        <v>73598.84</v>
      </c>
      <c r="I24" s="1">
        <v>0.15</v>
      </c>
      <c r="J24" s="1">
        <v>8783.9</v>
      </c>
      <c r="K24" s="1" t="s">
        <v>10</v>
      </c>
    </row>
    <row r="25" spans="1:11" ht="15" customHeight="1" x14ac:dyDescent="0.25">
      <c r="A25" s="1">
        <v>10024</v>
      </c>
      <c r="B25" s="2">
        <v>45881</v>
      </c>
      <c r="C25" s="1" t="s">
        <v>22</v>
      </c>
      <c r="D25" s="1" t="s">
        <v>37</v>
      </c>
      <c r="E25" s="1" t="s">
        <v>8</v>
      </c>
      <c r="F25" s="1" t="s">
        <v>12</v>
      </c>
      <c r="G25" s="1">
        <v>7</v>
      </c>
      <c r="H25" s="1">
        <v>59589.14</v>
      </c>
      <c r="I25" s="1">
        <v>0.1</v>
      </c>
      <c r="J25" s="1">
        <v>5069.13</v>
      </c>
      <c r="K25" s="1" t="s">
        <v>8</v>
      </c>
    </row>
    <row r="26" spans="1:11" ht="15" customHeight="1" x14ac:dyDescent="0.25">
      <c r="A26" s="1">
        <v>10025</v>
      </c>
      <c r="B26" s="2">
        <v>45896</v>
      </c>
      <c r="C26" s="1" t="s">
        <v>23</v>
      </c>
      <c r="D26" s="1" t="s">
        <v>34</v>
      </c>
      <c r="E26" s="1" t="s">
        <v>10</v>
      </c>
      <c r="F26" s="1" t="s">
        <v>11</v>
      </c>
      <c r="G26" s="1">
        <v>6</v>
      </c>
      <c r="H26" s="1">
        <v>64106.98</v>
      </c>
      <c r="I26" s="1">
        <v>0.05</v>
      </c>
      <c r="J26" s="1">
        <v>6961.4</v>
      </c>
      <c r="K26" s="1" t="s">
        <v>10</v>
      </c>
    </row>
    <row r="27" spans="1:11" ht="15" customHeight="1" x14ac:dyDescent="0.25">
      <c r="A27" s="1">
        <v>10026</v>
      </c>
      <c r="B27" s="2">
        <v>45834</v>
      </c>
      <c r="C27" s="1" t="s">
        <v>21</v>
      </c>
      <c r="D27" s="1" t="s">
        <v>39</v>
      </c>
      <c r="E27" s="1" t="s">
        <v>10</v>
      </c>
      <c r="F27" s="1" t="s">
        <v>11</v>
      </c>
      <c r="G27" s="1">
        <v>1</v>
      </c>
      <c r="H27" s="1">
        <v>18527.3</v>
      </c>
      <c r="I27" s="1">
        <v>0.2</v>
      </c>
      <c r="J27" s="1">
        <v>9999.7099999999991</v>
      </c>
      <c r="K27" s="1" t="s">
        <v>10</v>
      </c>
    </row>
    <row r="28" spans="1:11" ht="15" customHeight="1" x14ac:dyDescent="0.25">
      <c r="A28" s="1">
        <v>10027</v>
      </c>
      <c r="B28" s="2">
        <v>45924</v>
      </c>
      <c r="C28" s="1" t="s">
        <v>21</v>
      </c>
      <c r="D28" s="1" t="s">
        <v>39</v>
      </c>
      <c r="E28" s="1" t="s">
        <v>10</v>
      </c>
      <c r="F28" s="1" t="s">
        <v>11</v>
      </c>
      <c r="G28" s="1">
        <v>3</v>
      </c>
      <c r="H28" s="1">
        <v>72066.710000000006</v>
      </c>
      <c r="I28" s="1">
        <v>0.15</v>
      </c>
      <c r="J28" s="1">
        <v>9659.7800000000007</v>
      </c>
      <c r="K28" s="1" t="s">
        <v>10</v>
      </c>
    </row>
    <row r="29" spans="1:11" ht="15" customHeight="1" x14ac:dyDescent="0.25">
      <c r="A29" s="1">
        <v>10028</v>
      </c>
      <c r="B29" s="2">
        <v>45998</v>
      </c>
      <c r="C29" s="1" t="s">
        <v>20</v>
      </c>
      <c r="D29" s="1" t="s">
        <v>38</v>
      </c>
      <c r="E29" s="1" t="s">
        <v>10</v>
      </c>
      <c r="F29" s="1" t="s">
        <v>12</v>
      </c>
      <c r="G29" s="1">
        <v>6</v>
      </c>
      <c r="H29" s="1">
        <v>15170.96</v>
      </c>
      <c r="I29" s="1">
        <v>0.1</v>
      </c>
      <c r="J29" s="1">
        <v>10403.76</v>
      </c>
      <c r="K29" s="1" t="s">
        <v>10</v>
      </c>
    </row>
    <row r="30" spans="1:11" ht="15" customHeight="1" x14ac:dyDescent="0.25">
      <c r="A30" s="1">
        <v>10029</v>
      </c>
      <c r="B30" s="2">
        <v>45939</v>
      </c>
      <c r="C30" s="1" t="s">
        <v>22</v>
      </c>
      <c r="D30" s="1" t="s">
        <v>37</v>
      </c>
      <c r="E30" s="1" t="s">
        <v>8</v>
      </c>
      <c r="F30" s="1" t="s">
        <v>13</v>
      </c>
      <c r="G30" s="1">
        <v>3</v>
      </c>
      <c r="H30" s="1">
        <v>71381.52</v>
      </c>
      <c r="I30" s="1">
        <v>0.25</v>
      </c>
      <c r="J30" s="1">
        <v>762.43</v>
      </c>
      <c r="K30" s="1" t="s">
        <v>8</v>
      </c>
    </row>
    <row r="31" spans="1:11" ht="15" customHeight="1" x14ac:dyDescent="0.25">
      <c r="A31" s="1">
        <v>10030</v>
      </c>
      <c r="B31" s="2">
        <v>45720</v>
      </c>
      <c r="C31" s="1" t="s">
        <v>20</v>
      </c>
      <c r="D31" s="1" t="s">
        <v>34</v>
      </c>
      <c r="E31" s="1" t="s">
        <v>10</v>
      </c>
      <c r="F31" s="1" t="s">
        <v>11</v>
      </c>
      <c r="G31" s="1">
        <v>3</v>
      </c>
      <c r="H31" s="1">
        <v>74614.039999999994</v>
      </c>
      <c r="I31" s="1">
        <v>0.1</v>
      </c>
      <c r="J31" s="1">
        <v>8320</v>
      </c>
      <c r="K31" s="1" t="s">
        <v>10</v>
      </c>
    </row>
    <row r="32" spans="1:11" ht="15" customHeight="1" x14ac:dyDescent="0.25">
      <c r="A32" s="1">
        <v>10031</v>
      </c>
      <c r="B32" s="2">
        <v>45874</v>
      </c>
      <c r="C32" s="1" t="s">
        <v>20</v>
      </c>
      <c r="D32" s="1" t="s">
        <v>35</v>
      </c>
      <c r="E32" s="1" t="s">
        <v>10</v>
      </c>
      <c r="F32" s="1" t="s">
        <v>9</v>
      </c>
      <c r="G32" s="1">
        <v>2</v>
      </c>
      <c r="H32" s="1">
        <v>53523.35</v>
      </c>
      <c r="I32" s="1">
        <v>0.05</v>
      </c>
      <c r="J32" s="1">
        <v>1722.85</v>
      </c>
      <c r="K32" s="1" t="s">
        <v>10</v>
      </c>
    </row>
    <row r="33" spans="1:11" ht="15" customHeight="1" x14ac:dyDescent="0.25">
      <c r="A33" s="1">
        <v>10032</v>
      </c>
      <c r="B33" s="2">
        <v>45999</v>
      </c>
      <c r="C33" s="1" t="s">
        <v>18</v>
      </c>
      <c r="D33" s="1" t="s">
        <v>40</v>
      </c>
      <c r="E33" s="1" t="s">
        <v>10</v>
      </c>
      <c r="F33" s="1" t="s">
        <v>12</v>
      </c>
      <c r="G33" s="1">
        <v>3</v>
      </c>
      <c r="H33" s="1">
        <v>73595.210000000006</v>
      </c>
      <c r="I33" s="1">
        <v>0.05</v>
      </c>
      <c r="J33" s="1">
        <v>5019.03</v>
      </c>
      <c r="K33" s="1" t="s">
        <v>10</v>
      </c>
    </row>
    <row r="34" spans="1:11" ht="15" customHeight="1" x14ac:dyDescent="0.25">
      <c r="A34" s="1">
        <v>10033</v>
      </c>
      <c r="B34" s="2">
        <v>45972</v>
      </c>
      <c r="C34" s="1" t="s">
        <v>20</v>
      </c>
      <c r="D34" s="1" t="s">
        <v>34</v>
      </c>
      <c r="E34" s="1" t="s">
        <v>10</v>
      </c>
      <c r="F34" s="1" t="s">
        <v>12</v>
      </c>
      <c r="G34" s="1">
        <v>1</v>
      </c>
      <c r="H34" s="1">
        <v>42930.71</v>
      </c>
      <c r="I34" s="1">
        <v>0</v>
      </c>
      <c r="J34" s="1">
        <v>6605.63</v>
      </c>
      <c r="K34" s="1" t="s">
        <v>10</v>
      </c>
    </row>
    <row r="35" spans="1:11" ht="15" customHeight="1" x14ac:dyDescent="0.25">
      <c r="A35" s="1">
        <v>10034</v>
      </c>
      <c r="B35" s="2">
        <v>45940</v>
      </c>
      <c r="C35" s="1" t="s">
        <v>25</v>
      </c>
      <c r="D35" s="1" t="s">
        <v>38</v>
      </c>
      <c r="E35" s="1" t="s">
        <v>10</v>
      </c>
      <c r="F35" s="1" t="s">
        <v>13</v>
      </c>
      <c r="G35" s="1">
        <v>4</v>
      </c>
      <c r="H35" s="1">
        <v>19835.86</v>
      </c>
      <c r="I35" s="1">
        <v>0.15</v>
      </c>
      <c r="J35" s="1">
        <v>4862.74</v>
      </c>
      <c r="K35" s="1" t="s">
        <v>10</v>
      </c>
    </row>
    <row r="36" spans="1:11" ht="15" customHeight="1" x14ac:dyDescent="0.25">
      <c r="A36" s="1">
        <v>10035</v>
      </c>
      <c r="B36" s="2">
        <v>45834</v>
      </c>
      <c r="C36" s="1" t="s">
        <v>19</v>
      </c>
      <c r="D36" s="1" t="s">
        <v>39</v>
      </c>
      <c r="E36" s="1" t="s">
        <v>10</v>
      </c>
      <c r="F36" s="1" t="s">
        <v>9</v>
      </c>
      <c r="G36" s="1">
        <v>4</v>
      </c>
      <c r="H36" s="1">
        <v>33056.19</v>
      </c>
      <c r="I36" s="1">
        <v>0</v>
      </c>
      <c r="J36" s="1">
        <v>6259.36</v>
      </c>
      <c r="K36" s="1" t="s">
        <v>10</v>
      </c>
    </row>
    <row r="37" spans="1:11" ht="15" customHeight="1" x14ac:dyDescent="0.25">
      <c r="A37" s="1">
        <v>10036</v>
      </c>
      <c r="B37" s="2">
        <v>45755</v>
      </c>
      <c r="C37" s="1" t="s">
        <v>17</v>
      </c>
      <c r="D37" s="1" t="s">
        <v>35</v>
      </c>
      <c r="E37" s="1" t="s">
        <v>10</v>
      </c>
      <c r="F37" s="1" t="s">
        <v>9</v>
      </c>
      <c r="G37" s="1">
        <v>5</v>
      </c>
      <c r="H37" s="1">
        <v>44720.29</v>
      </c>
      <c r="I37" s="1">
        <v>0.1</v>
      </c>
      <c r="J37" s="1">
        <v>11958.49</v>
      </c>
      <c r="K37" s="1" t="s">
        <v>10</v>
      </c>
    </row>
    <row r="38" spans="1:11" ht="15" customHeight="1" x14ac:dyDescent="0.25">
      <c r="A38" s="1">
        <v>10037</v>
      </c>
      <c r="B38" s="2">
        <v>45762</v>
      </c>
      <c r="C38" s="1" t="s">
        <v>21</v>
      </c>
      <c r="D38" s="1" t="s">
        <v>34</v>
      </c>
      <c r="E38" s="1" t="s">
        <v>10</v>
      </c>
      <c r="F38" s="1" t="s">
        <v>9</v>
      </c>
      <c r="G38" s="1">
        <v>7</v>
      </c>
      <c r="H38" s="1">
        <v>5944.58</v>
      </c>
      <c r="I38" s="1">
        <v>0.2</v>
      </c>
      <c r="J38" s="1">
        <v>1665.85</v>
      </c>
      <c r="K38" s="1" t="s">
        <v>10</v>
      </c>
    </row>
    <row r="39" spans="1:11" ht="15" customHeight="1" x14ac:dyDescent="0.25">
      <c r="A39" s="1">
        <v>10038</v>
      </c>
      <c r="B39" s="2">
        <v>45756</v>
      </c>
      <c r="C39" s="1" t="s">
        <v>25</v>
      </c>
      <c r="D39" s="1" t="s">
        <v>40</v>
      </c>
      <c r="E39" s="1" t="s">
        <v>10</v>
      </c>
      <c r="F39" s="1" t="s">
        <v>9</v>
      </c>
      <c r="G39" s="1">
        <v>6</v>
      </c>
      <c r="H39" s="1">
        <v>46864.57</v>
      </c>
      <c r="I39" s="1">
        <v>0.2</v>
      </c>
      <c r="J39" s="1">
        <v>8121.7</v>
      </c>
      <c r="K39" s="1" t="s">
        <v>10</v>
      </c>
    </row>
    <row r="40" spans="1:11" ht="15" customHeight="1" x14ac:dyDescent="0.25">
      <c r="A40" s="1">
        <v>10039</v>
      </c>
      <c r="B40" s="2">
        <v>45968</v>
      </c>
      <c r="C40" s="1" t="s">
        <v>17</v>
      </c>
      <c r="D40" s="1" t="s">
        <v>40</v>
      </c>
      <c r="E40" s="1" t="s">
        <v>10</v>
      </c>
      <c r="F40" s="1" t="s">
        <v>11</v>
      </c>
      <c r="G40" s="1">
        <v>7</v>
      </c>
      <c r="H40" s="1">
        <v>73597.75</v>
      </c>
      <c r="I40" s="1">
        <v>0.05</v>
      </c>
      <c r="J40" s="1">
        <v>4782.21</v>
      </c>
      <c r="K40" s="1" t="s">
        <v>10</v>
      </c>
    </row>
    <row r="41" spans="1:11" ht="15" customHeight="1" x14ac:dyDescent="0.25">
      <c r="A41" s="1">
        <v>10040</v>
      </c>
      <c r="B41" s="2">
        <v>45663</v>
      </c>
      <c r="C41" s="1" t="s">
        <v>22</v>
      </c>
      <c r="D41" s="1" t="s">
        <v>36</v>
      </c>
      <c r="E41" s="1" t="s">
        <v>10</v>
      </c>
      <c r="F41" s="1" t="s">
        <v>9</v>
      </c>
      <c r="G41" s="1">
        <v>1</v>
      </c>
      <c r="H41" s="1">
        <v>14663.02</v>
      </c>
      <c r="I41" s="1">
        <v>0.2</v>
      </c>
      <c r="J41" s="1">
        <v>1639.47</v>
      </c>
      <c r="K41" s="1" t="s">
        <v>10</v>
      </c>
    </row>
    <row r="42" spans="1:11" ht="15" customHeight="1" x14ac:dyDescent="0.25">
      <c r="A42" s="1">
        <v>10041</v>
      </c>
      <c r="B42" s="2">
        <v>45854</v>
      </c>
      <c r="C42" s="1" t="s">
        <v>22</v>
      </c>
      <c r="D42" s="1" t="s">
        <v>36</v>
      </c>
      <c r="E42" s="1" t="s">
        <v>10</v>
      </c>
      <c r="F42" s="1" t="s">
        <v>12</v>
      </c>
      <c r="G42" s="1">
        <v>3</v>
      </c>
      <c r="H42" s="1">
        <v>59548.34</v>
      </c>
      <c r="I42" s="1">
        <v>0.2</v>
      </c>
      <c r="J42" s="1">
        <v>1946.9</v>
      </c>
      <c r="K42" s="1" t="s">
        <v>10</v>
      </c>
    </row>
    <row r="43" spans="1:11" ht="15" customHeight="1" x14ac:dyDescent="0.25">
      <c r="A43" s="1">
        <v>10042</v>
      </c>
      <c r="B43" s="2">
        <v>46008</v>
      </c>
      <c r="C43" s="1" t="s">
        <v>22</v>
      </c>
      <c r="D43" s="1" t="s">
        <v>33</v>
      </c>
      <c r="E43" s="1" t="s">
        <v>8</v>
      </c>
      <c r="F43" s="1" t="s">
        <v>12</v>
      </c>
      <c r="G43" s="1">
        <v>4</v>
      </c>
      <c r="H43" s="1">
        <v>68138.460000000006</v>
      </c>
      <c r="I43" s="1">
        <v>0.2</v>
      </c>
      <c r="J43" s="1">
        <v>11393.81</v>
      </c>
      <c r="K43" s="1" t="s">
        <v>8</v>
      </c>
    </row>
    <row r="44" spans="1:11" ht="15" customHeight="1" x14ac:dyDescent="0.25">
      <c r="A44" s="1">
        <v>10043</v>
      </c>
      <c r="B44" s="2">
        <v>45790</v>
      </c>
      <c r="C44" s="1" t="s">
        <v>25</v>
      </c>
      <c r="D44" s="1" t="s">
        <v>38</v>
      </c>
      <c r="E44" s="1" t="s">
        <v>10</v>
      </c>
      <c r="F44" s="1" t="s">
        <v>11</v>
      </c>
      <c r="G44" s="1">
        <v>7</v>
      </c>
      <c r="H44" s="1">
        <v>70805.77</v>
      </c>
      <c r="I44" s="1">
        <v>0.1</v>
      </c>
      <c r="J44" s="1">
        <v>10561.24</v>
      </c>
      <c r="K44" s="1" t="s">
        <v>10</v>
      </c>
    </row>
    <row r="45" spans="1:11" ht="15" customHeight="1" x14ac:dyDescent="0.25">
      <c r="A45" s="1">
        <v>10044</v>
      </c>
      <c r="B45" s="2">
        <v>46015</v>
      </c>
      <c r="C45" s="1" t="s">
        <v>25</v>
      </c>
      <c r="D45" s="1" t="s">
        <v>37</v>
      </c>
      <c r="E45" s="1" t="s">
        <v>8</v>
      </c>
      <c r="F45" s="1" t="s">
        <v>12</v>
      </c>
      <c r="G45" s="1">
        <v>1</v>
      </c>
      <c r="H45" s="1">
        <v>72030.100000000006</v>
      </c>
      <c r="I45" s="1">
        <v>0.2</v>
      </c>
      <c r="J45" s="1">
        <v>10889.15</v>
      </c>
      <c r="K45" s="1" t="s">
        <v>8</v>
      </c>
    </row>
    <row r="46" spans="1:11" ht="15" customHeight="1" x14ac:dyDescent="0.25">
      <c r="A46" s="1">
        <v>10045</v>
      </c>
      <c r="B46" s="2">
        <v>45916</v>
      </c>
      <c r="C46" s="1" t="s">
        <v>21</v>
      </c>
      <c r="D46" s="1" t="s">
        <v>34</v>
      </c>
      <c r="E46" s="1" t="s">
        <v>10</v>
      </c>
      <c r="F46" s="1" t="s">
        <v>12</v>
      </c>
      <c r="G46" s="1">
        <v>4</v>
      </c>
      <c r="H46" s="1">
        <v>39348.74</v>
      </c>
      <c r="I46" s="1">
        <v>0.25</v>
      </c>
      <c r="J46" s="1">
        <v>11898.82</v>
      </c>
      <c r="K46" s="1" t="s">
        <v>10</v>
      </c>
    </row>
    <row r="47" spans="1:11" ht="15" customHeight="1" x14ac:dyDescent="0.25">
      <c r="A47" s="1">
        <v>10046</v>
      </c>
      <c r="B47" s="2">
        <v>45680</v>
      </c>
      <c r="C47" s="1" t="s">
        <v>19</v>
      </c>
      <c r="D47" s="1" t="s">
        <v>34</v>
      </c>
      <c r="E47" s="1" t="s">
        <v>10</v>
      </c>
      <c r="F47" s="1" t="s">
        <v>9</v>
      </c>
      <c r="G47" s="1">
        <v>3</v>
      </c>
      <c r="H47" s="1">
        <v>73309.440000000002</v>
      </c>
      <c r="I47" s="1">
        <v>0.2</v>
      </c>
      <c r="J47" s="1">
        <v>2539.37</v>
      </c>
      <c r="K47" s="1" t="s">
        <v>10</v>
      </c>
    </row>
    <row r="48" spans="1:11" ht="15" customHeight="1" x14ac:dyDescent="0.25">
      <c r="A48" s="1">
        <v>10047</v>
      </c>
      <c r="B48" s="2">
        <v>45710</v>
      </c>
      <c r="C48" s="1" t="s">
        <v>23</v>
      </c>
      <c r="D48" s="1" t="s">
        <v>37</v>
      </c>
      <c r="E48" s="1" t="s">
        <v>8</v>
      </c>
      <c r="F48" s="1" t="s">
        <v>12</v>
      </c>
      <c r="G48" s="1">
        <v>7</v>
      </c>
      <c r="H48" s="1">
        <v>56919.61</v>
      </c>
      <c r="I48" s="1">
        <v>0.2</v>
      </c>
      <c r="J48" s="1">
        <v>4297.5</v>
      </c>
      <c r="K48" s="1" t="s">
        <v>8</v>
      </c>
    </row>
    <row r="49" spans="1:11" ht="15" customHeight="1" x14ac:dyDescent="0.25">
      <c r="A49" s="1">
        <v>10048</v>
      </c>
      <c r="B49" s="2">
        <v>45822</v>
      </c>
      <c r="C49" s="1" t="s">
        <v>20</v>
      </c>
      <c r="D49" s="1" t="s">
        <v>33</v>
      </c>
      <c r="E49" s="1" t="s">
        <v>8</v>
      </c>
      <c r="F49" s="1" t="s">
        <v>11</v>
      </c>
      <c r="G49" s="1">
        <v>4</v>
      </c>
      <c r="H49" s="1">
        <v>12544.52</v>
      </c>
      <c r="I49" s="1">
        <v>0</v>
      </c>
      <c r="J49" s="1">
        <v>8047.17</v>
      </c>
      <c r="K49" s="1" t="s">
        <v>8</v>
      </c>
    </row>
    <row r="50" spans="1:11" ht="15" customHeight="1" x14ac:dyDescent="0.25">
      <c r="A50" s="1">
        <v>10049</v>
      </c>
      <c r="B50" s="2">
        <v>45859</v>
      </c>
      <c r="C50" s="1" t="s">
        <v>22</v>
      </c>
      <c r="D50" s="1" t="s">
        <v>39</v>
      </c>
      <c r="E50" s="1" t="s">
        <v>10</v>
      </c>
      <c r="F50" s="1" t="s">
        <v>9</v>
      </c>
      <c r="G50" s="1">
        <v>6</v>
      </c>
      <c r="H50" s="1">
        <v>36029.06</v>
      </c>
      <c r="I50" s="1">
        <v>0.1</v>
      </c>
      <c r="J50" s="1">
        <v>5831.44</v>
      </c>
      <c r="K50" s="1" t="s">
        <v>10</v>
      </c>
    </row>
    <row r="51" spans="1:11" ht="15" customHeight="1" x14ac:dyDescent="0.25">
      <c r="A51" s="1">
        <v>10050</v>
      </c>
      <c r="B51" s="2">
        <v>45740</v>
      </c>
      <c r="C51" s="1" t="s">
        <v>18</v>
      </c>
      <c r="D51" s="1" t="s">
        <v>39</v>
      </c>
      <c r="E51" s="1" t="s">
        <v>10</v>
      </c>
      <c r="F51" s="1" t="s">
        <v>13</v>
      </c>
      <c r="G51" s="1">
        <v>6</v>
      </c>
      <c r="H51" s="1">
        <v>54015.67</v>
      </c>
      <c r="I51" s="1">
        <v>0.05</v>
      </c>
      <c r="J51" s="1">
        <v>5049.75</v>
      </c>
      <c r="K51" s="1" t="s">
        <v>10</v>
      </c>
    </row>
    <row r="52" spans="1:11" ht="15" customHeight="1" x14ac:dyDescent="0.25">
      <c r="A52" s="1">
        <v>10051</v>
      </c>
      <c r="B52" s="2">
        <v>45802</v>
      </c>
      <c r="C52" s="1" t="s">
        <v>19</v>
      </c>
      <c r="D52" s="1" t="s">
        <v>33</v>
      </c>
      <c r="E52" s="1" t="s">
        <v>8</v>
      </c>
      <c r="F52" s="1" t="s">
        <v>9</v>
      </c>
      <c r="G52" s="1">
        <v>5</v>
      </c>
      <c r="H52" s="1">
        <v>18926.849999999999</v>
      </c>
      <c r="I52" s="1">
        <v>0</v>
      </c>
      <c r="J52" s="1">
        <v>4325.84</v>
      </c>
      <c r="K52" s="1" t="s">
        <v>8</v>
      </c>
    </row>
    <row r="53" spans="1:11" ht="15" customHeight="1" x14ac:dyDescent="0.25">
      <c r="A53" s="1">
        <v>10052</v>
      </c>
      <c r="B53" s="2">
        <v>45742</v>
      </c>
      <c r="C53" s="1" t="s">
        <v>18</v>
      </c>
      <c r="D53" s="1" t="s">
        <v>39</v>
      </c>
      <c r="E53" s="1" t="s">
        <v>10</v>
      </c>
      <c r="F53" s="1" t="s">
        <v>11</v>
      </c>
      <c r="G53" s="1">
        <v>5</v>
      </c>
      <c r="H53" s="1">
        <v>48225.83</v>
      </c>
      <c r="I53" s="1">
        <v>0.15</v>
      </c>
      <c r="J53" s="1">
        <v>7145.68</v>
      </c>
      <c r="K53" s="1" t="s">
        <v>10</v>
      </c>
    </row>
    <row r="54" spans="1:11" ht="15" customHeight="1" x14ac:dyDescent="0.25">
      <c r="A54" s="1">
        <v>10053</v>
      </c>
      <c r="B54" s="2">
        <v>45735</v>
      </c>
      <c r="C54" s="1" t="s">
        <v>21</v>
      </c>
      <c r="D54" s="1" t="s">
        <v>36</v>
      </c>
      <c r="E54" s="1" t="s">
        <v>10</v>
      </c>
      <c r="F54" s="1" t="s">
        <v>9</v>
      </c>
      <c r="G54" s="1">
        <v>4</v>
      </c>
      <c r="H54" s="1">
        <v>50161.74</v>
      </c>
      <c r="I54" s="1">
        <v>0.1</v>
      </c>
      <c r="J54" s="1">
        <v>6928.34</v>
      </c>
      <c r="K54" s="1" t="s">
        <v>10</v>
      </c>
    </row>
    <row r="55" spans="1:11" ht="15" customHeight="1" x14ac:dyDescent="0.25">
      <c r="A55" s="1">
        <v>10054</v>
      </c>
      <c r="B55" s="2">
        <v>45658</v>
      </c>
      <c r="C55" s="1" t="s">
        <v>21</v>
      </c>
      <c r="D55" s="1" t="s">
        <v>34</v>
      </c>
      <c r="E55" s="1" t="s">
        <v>10</v>
      </c>
      <c r="F55" s="1" t="s">
        <v>9</v>
      </c>
      <c r="G55" s="1">
        <v>1</v>
      </c>
      <c r="H55" s="1">
        <v>12621.13</v>
      </c>
      <c r="I55" s="1">
        <v>0.25</v>
      </c>
      <c r="J55" s="1">
        <v>1979.42</v>
      </c>
      <c r="K55" s="1" t="s">
        <v>10</v>
      </c>
    </row>
    <row r="56" spans="1:11" ht="15" customHeight="1" x14ac:dyDescent="0.25">
      <c r="A56" s="1">
        <v>10055</v>
      </c>
      <c r="B56" s="2">
        <v>45708</v>
      </c>
      <c r="C56" s="1" t="s">
        <v>21</v>
      </c>
      <c r="D56" s="1" t="s">
        <v>33</v>
      </c>
      <c r="E56" s="1" t="s">
        <v>8</v>
      </c>
      <c r="F56" s="1" t="s">
        <v>11</v>
      </c>
      <c r="G56" s="1">
        <v>6</v>
      </c>
      <c r="H56" s="1">
        <v>42598.86</v>
      </c>
      <c r="I56" s="1">
        <v>0.1</v>
      </c>
      <c r="J56" s="1">
        <v>5687.29</v>
      </c>
      <c r="K56" s="1" t="s">
        <v>8</v>
      </c>
    </row>
    <row r="57" spans="1:11" ht="15" customHeight="1" x14ac:dyDescent="0.25">
      <c r="A57" s="1">
        <v>10056</v>
      </c>
      <c r="B57" s="2">
        <v>45830</v>
      </c>
      <c r="C57" s="1" t="s">
        <v>17</v>
      </c>
      <c r="D57" s="1" t="s">
        <v>34</v>
      </c>
      <c r="E57" s="1" t="s">
        <v>10</v>
      </c>
      <c r="F57" s="1" t="s">
        <v>9</v>
      </c>
      <c r="G57" s="1">
        <v>1</v>
      </c>
      <c r="H57" s="1">
        <v>57986.2</v>
      </c>
      <c r="I57" s="1">
        <v>0.15</v>
      </c>
      <c r="J57" s="1">
        <v>6663.99</v>
      </c>
      <c r="K57" s="1" t="s">
        <v>10</v>
      </c>
    </row>
    <row r="58" spans="1:11" ht="15" customHeight="1" x14ac:dyDescent="0.25">
      <c r="A58" s="1">
        <v>10057</v>
      </c>
      <c r="B58" s="2">
        <v>45862</v>
      </c>
      <c r="C58" s="1" t="s">
        <v>18</v>
      </c>
      <c r="D58" s="1" t="s">
        <v>37</v>
      </c>
      <c r="E58" s="1" t="s">
        <v>8</v>
      </c>
      <c r="F58" s="1" t="s">
        <v>11</v>
      </c>
      <c r="G58" s="1">
        <v>1</v>
      </c>
      <c r="H58" s="1">
        <v>37667.730000000003</v>
      </c>
      <c r="I58" s="1">
        <v>0.15</v>
      </c>
      <c r="J58" s="1">
        <v>6864.93</v>
      </c>
      <c r="K58" s="1" t="s">
        <v>10</v>
      </c>
    </row>
    <row r="59" spans="1:11" ht="15" customHeight="1" x14ac:dyDescent="0.25">
      <c r="A59" s="1">
        <v>10058</v>
      </c>
      <c r="B59" s="2">
        <v>45917</v>
      </c>
      <c r="C59" s="1" t="s">
        <v>19</v>
      </c>
      <c r="D59" s="1" t="s">
        <v>40</v>
      </c>
      <c r="E59" s="1" t="s">
        <v>10</v>
      </c>
      <c r="F59" s="1" t="s">
        <v>11</v>
      </c>
      <c r="G59" s="1">
        <v>4</v>
      </c>
      <c r="H59" s="1">
        <v>1401.68</v>
      </c>
      <c r="I59" s="1">
        <v>0.15</v>
      </c>
      <c r="J59" s="1">
        <v>2560.7800000000002</v>
      </c>
      <c r="K59" s="1" t="s">
        <v>10</v>
      </c>
    </row>
    <row r="60" spans="1:11" ht="15" customHeight="1" x14ac:dyDescent="0.25">
      <c r="A60" s="1">
        <v>10059</v>
      </c>
      <c r="B60" s="2">
        <v>45945</v>
      </c>
      <c r="C60" s="1" t="s">
        <v>23</v>
      </c>
      <c r="D60" s="1" t="s">
        <v>36</v>
      </c>
      <c r="E60" s="1" t="s">
        <v>10</v>
      </c>
      <c r="F60" s="1" t="s">
        <v>13</v>
      </c>
      <c r="G60" s="1">
        <v>1</v>
      </c>
      <c r="H60" s="1">
        <v>1173.3699999999999</v>
      </c>
      <c r="I60" s="1">
        <v>0.05</v>
      </c>
      <c r="J60" s="1">
        <v>8920.14</v>
      </c>
      <c r="K60" s="1" t="s">
        <v>10</v>
      </c>
    </row>
    <row r="61" spans="1:11" ht="15" customHeight="1" x14ac:dyDescent="0.25">
      <c r="A61" s="1">
        <v>10060</v>
      </c>
      <c r="B61" s="2">
        <v>45691</v>
      </c>
      <c r="C61" s="1" t="s">
        <v>19</v>
      </c>
      <c r="D61" s="1" t="s">
        <v>35</v>
      </c>
      <c r="E61" s="1" t="s">
        <v>10</v>
      </c>
      <c r="F61" s="1" t="s">
        <v>12</v>
      </c>
      <c r="G61" s="1">
        <v>6</v>
      </c>
      <c r="H61" s="1">
        <v>27098.69</v>
      </c>
      <c r="I61" s="1">
        <v>0.2</v>
      </c>
      <c r="J61" s="1">
        <v>351.13</v>
      </c>
      <c r="K61" s="1" t="s">
        <v>10</v>
      </c>
    </row>
    <row r="62" spans="1:11" ht="15" customHeight="1" x14ac:dyDescent="0.25">
      <c r="A62" s="1">
        <v>10061</v>
      </c>
      <c r="B62" s="2">
        <v>46005</v>
      </c>
      <c r="C62" s="1" t="s">
        <v>25</v>
      </c>
      <c r="D62" s="1" t="s">
        <v>36</v>
      </c>
      <c r="E62" s="1" t="s">
        <v>10</v>
      </c>
      <c r="F62" s="1" t="s">
        <v>12</v>
      </c>
      <c r="G62" s="1">
        <v>3</v>
      </c>
      <c r="H62" s="1">
        <v>69501.460000000006</v>
      </c>
      <c r="I62" s="1">
        <v>0.1</v>
      </c>
      <c r="J62" s="1">
        <v>4290.24</v>
      </c>
      <c r="K62" s="1" t="s">
        <v>10</v>
      </c>
    </row>
    <row r="63" spans="1:11" ht="15" customHeight="1" x14ac:dyDescent="0.25">
      <c r="A63" s="1">
        <v>10062</v>
      </c>
      <c r="B63" s="2">
        <v>45752</v>
      </c>
      <c r="C63" s="1" t="s">
        <v>25</v>
      </c>
      <c r="D63" s="1" t="s">
        <v>33</v>
      </c>
      <c r="E63" s="1" t="s">
        <v>8</v>
      </c>
      <c r="F63" s="1" t="s">
        <v>9</v>
      </c>
      <c r="G63" s="1">
        <v>5</v>
      </c>
      <c r="H63" s="1">
        <v>17536.419999999998</v>
      </c>
      <c r="I63" s="1">
        <v>0.2</v>
      </c>
      <c r="J63" s="1">
        <v>9373.5400000000009</v>
      </c>
      <c r="K63" s="1" t="s">
        <v>8</v>
      </c>
    </row>
    <row r="64" spans="1:11" ht="15" customHeight="1" x14ac:dyDescent="0.25">
      <c r="A64" s="1">
        <v>10063</v>
      </c>
      <c r="B64" s="2">
        <v>45729</v>
      </c>
      <c r="C64" s="1" t="s">
        <v>22</v>
      </c>
      <c r="D64" s="1" t="s">
        <v>35</v>
      </c>
      <c r="E64" s="1" t="s">
        <v>10</v>
      </c>
      <c r="F64" s="1" t="s">
        <v>9</v>
      </c>
      <c r="G64" s="1">
        <v>3</v>
      </c>
      <c r="H64" s="1">
        <v>47760.09</v>
      </c>
      <c r="I64" s="1">
        <v>0.2</v>
      </c>
      <c r="J64" s="1">
        <v>6788.52</v>
      </c>
      <c r="K64" s="1" t="s">
        <v>10</v>
      </c>
    </row>
    <row r="65" spans="1:11" ht="15" customHeight="1" x14ac:dyDescent="0.25">
      <c r="A65" s="1">
        <v>10064</v>
      </c>
      <c r="B65" s="2">
        <v>45696</v>
      </c>
      <c r="C65" s="1" t="s">
        <v>23</v>
      </c>
      <c r="D65" s="1" t="s">
        <v>40</v>
      </c>
      <c r="E65" s="1" t="s">
        <v>10</v>
      </c>
      <c r="F65" s="1" t="s">
        <v>13</v>
      </c>
      <c r="G65" s="1">
        <v>1</v>
      </c>
      <c r="H65" s="1">
        <v>17044.650000000001</v>
      </c>
      <c r="I65" s="1">
        <v>0.25</v>
      </c>
      <c r="J65" s="1">
        <v>3170.89</v>
      </c>
      <c r="K65" s="1" t="s">
        <v>10</v>
      </c>
    </row>
    <row r="66" spans="1:11" ht="15" customHeight="1" x14ac:dyDescent="0.25">
      <c r="A66" s="1">
        <v>10065</v>
      </c>
      <c r="B66" s="2">
        <v>45811</v>
      </c>
      <c r="C66" s="1" t="s">
        <v>25</v>
      </c>
      <c r="D66" s="1" t="s">
        <v>33</v>
      </c>
      <c r="E66" s="1" t="s">
        <v>8</v>
      </c>
      <c r="F66" s="1" t="s">
        <v>13</v>
      </c>
      <c r="G66" s="1">
        <v>3</v>
      </c>
      <c r="H66" s="1">
        <v>24464.41</v>
      </c>
      <c r="I66" s="1">
        <v>0.15</v>
      </c>
      <c r="J66" s="1">
        <v>8354.69</v>
      </c>
      <c r="K66" s="1" t="s">
        <v>8</v>
      </c>
    </row>
    <row r="67" spans="1:11" ht="15" customHeight="1" x14ac:dyDescent="0.25">
      <c r="A67" s="1">
        <v>10066</v>
      </c>
      <c r="B67" s="2">
        <v>45907</v>
      </c>
      <c r="C67" s="1" t="s">
        <v>21</v>
      </c>
      <c r="D67" s="1" t="s">
        <v>38</v>
      </c>
      <c r="E67" s="1" t="s">
        <v>10</v>
      </c>
      <c r="F67" s="1" t="s">
        <v>13</v>
      </c>
      <c r="G67" s="1">
        <v>6</v>
      </c>
      <c r="H67" s="1">
        <v>63679.14</v>
      </c>
      <c r="I67" s="1">
        <v>0.05</v>
      </c>
      <c r="J67" s="1">
        <v>6830.32</v>
      </c>
      <c r="K67" s="1" t="s">
        <v>10</v>
      </c>
    </row>
    <row r="68" spans="1:11" ht="15" customHeight="1" x14ac:dyDescent="0.25">
      <c r="A68" s="1">
        <v>10067</v>
      </c>
      <c r="B68" s="2">
        <v>45819</v>
      </c>
      <c r="C68" s="1" t="s">
        <v>19</v>
      </c>
      <c r="D68" s="1" t="s">
        <v>34</v>
      </c>
      <c r="E68" s="1" t="s">
        <v>10</v>
      </c>
      <c r="F68" s="1" t="s">
        <v>11</v>
      </c>
      <c r="G68" s="1">
        <v>6</v>
      </c>
      <c r="H68" s="1">
        <v>54800.18</v>
      </c>
      <c r="I68" s="1">
        <v>0.25</v>
      </c>
      <c r="J68" s="1">
        <v>9565.11</v>
      </c>
      <c r="K68" s="1" t="s">
        <v>10</v>
      </c>
    </row>
    <row r="69" spans="1:11" ht="15" customHeight="1" x14ac:dyDescent="0.25">
      <c r="A69" s="1">
        <v>10068</v>
      </c>
      <c r="B69" s="2">
        <v>45775</v>
      </c>
      <c r="C69" s="1" t="s">
        <v>18</v>
      </c>
      <c r="D69" s="1" t="s">
        <v>40</v>
      </c>
      <c r="E69" s="1" t="s">
        <v>10</v>
      </c>
      <c r="F69" s="1" t="s">
        <v>13</v>
      </c>
      <c r="G69" s="1">
        <v>1</v>
      </c>
      <c r="H69" s="1">
        <v>7607.25</v>
      </c>
      <c r="I69" s="1">
        <v>0</v>
      </c>
      <c r="J69" s="1">
        <v>8833.5499999999993</v>
      </c>
      <c r="K69" s="1" t="s">
        <v>10</v>
      </c>
    </row>
    <row r="70" spans="1:11" ht="15" customHeight="1" x14ac:dyDescent="0.25">
      <c r="A70" s="1">
        <v>10069</v>
      </c>
      <c r="B70" s="2">
        <v>45916</v>
      </c>
      <c r="C70" s="1" t="s">
        <v>21</v>
      </c>
      <c r="D70" s="1" t="s">
        <v>34</v>
      </c>
      <c r="E70" s="1" t="s">
        <v>10</v>
      </c>
      <c r="F70" s="1" t="s">
        <v>13</v>
      </c>
      <c r="G70" s="1">
        <v>4</v>
      </c>
      <c r="H70" s="1">
        <v>32438.3</v>
      </c>
      <c r="I70" s="1">
        <v>0.05</v>
      </c>
      <c r="J70" s="1">
        <v>7340.79</v>
      </c>
      <c r="K70" s="1" t="s">
        <v>10</v>
      </c>
    </row>
    <row r="71" spans="1:11" ht="15" customHeight="1" x14ac:dyDescent="0.25">
      <c r="A71" s="1">
        <v>10070</v>
      </c>
      <c r="B71" s="2">
        <v>45963</v>
      </c>
      <c r="C71" s="1" t="s">
        <v>17</v>
      </c>
      <c r="D71" s="1" t="s">
        <v>39</v>
      </c>
      <c r="E71" s="1" t="s">
        <v>10</v>
      </c>
      <c r="F71" s="1" t="s">
        <v>9</v>
      </c>
      <c r="G71" s="1">
        <v>3</v>
      </c>
      <c r="H71" s="1">
        <v>2673.15</v>
      </c>
      <c r="I71" s="1">
        <v>0.2</v>
      </c>
      <c r="J71" s="1">
        <v>5883.72</v>
      </c>
      <c r="K71" s="1" t="s">
        <v>10</v>
      </c>
    </row>
    <row r="72" spans="1:11" ht="15" customHeight="1" x14ac:dyDescent="0.25">
      <c r="A72" s="1">
        <v>10071</v>
      </c>
      <c r="B72" s="2">
        <v>45703</v>
      </c>
      <c r="C72" s="1" t="s">
        <v>25</v>
      </c>
      <c r="D72" s="1" t="s">
        <v>38</v>
      </c>
      <c r="E72" s="1" t="s">
        <v>10</v>
      </c>
      <c r="F72" s="1" t="s">
        <v>13</v>
      </c>
      <c r="G72" s="1">
        <v>4</v>
      </c>
      <c r="H72" s="1">
        <v>36326.32</v>
      </c>
      <c r="I72" s="1">
        <v>0.05</v>
      </c>
      <c r="J72" s="1">
        <v>1641.53</v>
      </c>
      <c r="K72" s="1" t="s">
        <v>10</v>
      </c>
    </row>
    <row r="73" spans="1:11" ht="15" customHeight="1" x14ac:dyDescent="0.25">
      <c r="A73" s="1">
        <v>10072</v>
      </c>
      <c r="B73" s="2">
        <v>45703</v>
      </c>
      <c r="C73" s="1" t="s">
        <v>21</v>
      </c>
      <c r="D73" s="1" t="s">
        <v>38</v>
      </c>
      <c r="E73" s="1" t="s">
        <v>10</v>
      </c>
      <c r="F73" s="1" t="s">
        <v>11</v>
      </c>
      <c r="G73" s="1">
        <v>4</v>
      </c>
      <c r="H73" s="1">
        <v>49851.33</v>
      </c>
      <c r="I73" s="1">
        <v>0.15</v>
      </c>
      <c r="J73" s="1">
        <v>3172.93</v>
      </c>
      <c r="K73" s="1" t="s">
        <v>10</v>
      </c>
    </row>
    <row r="74" spans="1:11" ht="15" customHeight="1" x14ac:dyDescent="0.25">
      <c r="A74" s="1">
        <v>10073</v>
      </c>
      <c r="B74" s="2">
        <v>45893</v>
      </c>
      <c r="C74" s="1" t="s">
        <v>21</v>
      </c>
      <c r="D74" s="1" t="s">
        <v>40</v>
      </c>
      <c r="E74" s="1" t="s">
        <v>10</v>
      </c>
      <c r="F74" s="1" t="s">
        <v>11</v>
      </c>
      <c r="G74" s="1">
        <v>2</v>
      </c>
      <c r="H74" s="1">
        <v>9328.4500000000007</v>
      </c>
      <c r="I74" s="1">
        <v>0</v>
      </c>
      <c r="J74" s="1">
        <v>5058.24</v>
      </c>
      <c r="K74" s="1" t="s">
        <v>10</v>
      </c>
    </row>
    <row r="75" spans="1:11" ht="15" customHeight="1" x14ac:dyDescent="0.25">
      <c r="A75" s="1">
        <v>10074</v>
      </c>
      <c r="B75" s="2">
        <v>45879</v>
      </c>
      <c r="C75" s="1" t="s">
        <v>17</v>
      </c>
      <c r="D75" s="1" t="s">
        <v>38</v>
      </c>
      <c r="E75" s="1" t="s">
        <v>10</v>
      </c>
      <c r="F75" s="1" t="s">
        <v>9</v>
      </c>
      <c r="G75" s="1">
        <v>1</v>
      </c>
      <c r="H75" s="1">
        <v>22021.93</v>
      </c>
      <c r="I75" s="1">
        <v>0.15</v>
      </c>
      <c r="J75" s="1">
        <v>7211.63</v>
      </c>
      <c r="K75" s="1" t="s">
        <v>10</v>
      </c>
    </row>
    <row r="76" spans="1:11" ht="15" customHeight="1" x14ac:dyDescent="0.25">
      <c r="A76" s="1">
        <v>10075</v>
      </c>
      <c r="B76" s="2">
        <v>45908</v>
      </c>
      <c r="C76" s="1" t="s">
        <v>20</v>
      </c>
      <c r="D76" s="1" t="s">
        <v>35</v>
      </c>
      <c r="E76" s="1" t="s">
        <v>10</v>
      </c>
      <c r="F76" s="1" t="s">
        <v>13</v>
      </c>
      <c r="G76" s="1">
        <v>5</v>
      </c>
      <c r="H76" s="1">
        <v>30138.83</v>
      </c>
      <c r="I76" s="1">
        <v>0</v>
      </c>
      <c r="J76" s="1">
        <v>6188.81</v>
      </c>
      <c r="K76" s="1" t="s">
        <v>10</v>
      </c>
    </row>
    <row r="77" spans="1:11" ht="15" customHeight="1" x14ac:dyDescent="0.25">
      <c r="A77" s="1">
        <v>10076</v>
      </c>
      <c r="B77" s="2">
        <v>45970</v>
      </c>
      <c r="C77" s="1" t="s">
        <v>19</v>
      </c>
      <c r="D77" s="1" t="s">
        <v>38</v>
      </c>
      <c r="E77" s="1" t="s">
        <v>10</v>
      </c>
      <c r="F77" s="1" t="s">
        <v>13</v>
      </c>
      <c r="G77" s="1">
        <v>6</v>
      </c>
      <c r="H77" s="1">
        <v>69005.06</v>
      </c>
      <c r="I77" s="1">
        <v>0.25</v>
      </c>
      <c r="J77" s="1">
        <v>3493.81</v>
      </c>
      <c r="K77" s="1" t="s">
        <v>10</v>
      </c>
    </row>
    <row r="78" spans="1:11" ht="15" customHeight="1" x14ac:dyDescent="0.25">
      <c r="A78" s="1">
        <v>10077</v>
      </c>
      <c r="B78" s="2">
        <v>45769</v>
      </c>
      <c r="C78" s="1" t="s">
        <v>18</v>
      </c>
      <c r="D78" s="1" t="s">
        <v>34</v>
      </c>
      <c r="E78" s="1" t="s">
        <v>10</v>
      </c>
      <c r="F78" s="1" t="s">
        <v>11</v>
      </c>
      <c r="G78" s="1">
        <v>6</v>
      </c>
      <c r="H78" s="1">
        <v>74497.5</v>
      </c>
      <c r="I78" s="1">
        <v>0.2</v>
      </c>
      <c r="J78" s="1">
        <v>127.25</v>
      </c>
      <c r="K78" s="1" t="s">
        <v>10</v>
      </c>
    </row>
    <row r="79" spans="1:11" ht="15" customHeight="1" x14ac:dyDescent="0.25">
      <c r="A79" s="1">
        <v>10078</v>
      </c>
      <c r="B79" s="2">
        <v>45912</v>
      </c>
      <c r="C79" s="1" t="s">
        <v>22</v>
      </c>
      <c r="D79" s="1" t="s">
        <v>34</v>
      </c>
      <c r="E79" s="1" t="s">
        <v>10</v>
      </c>
      <c r="F79" s="1" t="s">
        <v>13</v>
      </c>
      <c r="G79" s="1">
        <v>1</v>
      </c>
      <c r="H79" s="1">
        <v>3845.89</v>
      </c>
      <c r="I79" s="1">
        <v>0</v>
      </c>
      <c r="J79" s="1">
        <v>5980.06</v>
      </c>
      <c r="K79" s="1" t="s">
        <v>10</v>
      </c>
    </row>
    <row r="80" spans="1:11" ht="15" customHeight="1" x14ac:dyDescent="0.25">
      <c r="A80" s="1">
        <v>10079</v>
      </c>
      <c r="B80" s="2">
        <v>45960</v>
      </c>
      <c r="C80" s="1" t="s">
        <v>20</v>
      </c>
      <c r="D80" s="1" t="s">
        <v>33</v>
      </c>
      <c r="E80" s="1" t="s">
        <v>8</v>
      </c>
      <c r="F80" s="1" t="s">
        <v>13</v>
      </c>
      <c r="G80" s="1">
        <v>7</v>
      </c>
      <c r="H80" s="1">
        <v>57195.09</v>
      </c>
      <c r="I80" s="1">
        <v>0</v>
      </c>
      <c r="J80" s="1">
        <v>3463.23</v>
      </c>
      <c r="K80" s="1" t="s">
        <v>8</v>
      </c>
    </row>
    <row r="81" spans="1:11" ht="15" customHeight="1" x14ac:dyDescent="0.25">
      <c r="A81" s="1">
        <v>10080</v>
      </c>
      <c r="B81" s="2">
        <v>45864</v>
      </c>
      <c r="C81" s="1" t="s">
        <v>25</v>
      </c>
      <c r="D81" s="1" t="s">
        <v>34</v>
      </c>
      <c r="E81" s="1" t="s">
        <v>10</v>
      </c>
      <c r="F81" s="1" t="s">
        <v>13</v>
      </c>
      <c r="G81" s="1">
        <v>7</v>
      </c>
      <c r="H81" s="1">
        <v>28193.439999999999</v>
      </c>
      <c r="I81" s="1">
        <v>0</v>
      </c>
      <c r="J81" s="1">
        <v>8828.57</v>
      </c>
      <c r="K81" s="1" t="s">
        <v>10</v>
      </c>
    </row>
    <row r="82" spans="1:11" ht="15" customHeight="1" x14ac:dyDescent="0.25">
      <c r="A82" s="1">
        <v>10081</v>
      </c>
      <c r="B82" s="2">
        <v>45886</v>
      </c>
      <c r="C82" s="1" t="s">
        <v>21</v>
      </c>
      <c r="D82" s="1" t="s">
        <v>33</v>
      </c>
      <c r="E82" s="1" t="s">
        <v>8</v>
      </c>
      <c r="F82" s="1" t="s">
        <v>12</v>
      </c>
      <c r="G82" s="1">
        <v>7</v>
      </c>
      <c r="H82" s="1">
        <v>29738.13</v>
      </c>
      <c r="I82" s="1">
        <v>0.05</v>
      </c>
      <c r="J82" s="1">
        <v>336.16</v>
      </c>
      <c r="K82" s="1" t="s">
        <v>8</v>
      </c>
    </row>
    <row r="83" spans="1:11" ht="15" customHeight="1" x14ac:dyDescent="0.25">
      <c r="A83" s="1">
        <v>10082</v>
      </c>
      <c r="B83" s="2">
        <v>45998</v>
      </c>
      <c r="C83" s="1" t="s">
        <v>23</v>
      </c>
      <c r="D83" s="1" t="s">
        <v>34</v>
      </c>
      <c r="E83" s="1" t="s">
        <v>10</v>
      </c>
      <c r="F83" s="1" t="s">
        <v>9</v>
      </c>
      <c r="G83" s="1">
        <v>5</v>
      </c>
      <c r="H83" s="1">
        <v>56692.74</v>
      </c>
      <c r="I83" s="1">
        <v>0.25</v>
      </c>
      <c r="J83" s="1">
        <v>7038.69</v>
      </c>
      <c r="K83" s="1" t="s">
        <v>10</v>
      </c>
    </row>
    <row r="84" spans="1:11" ht="15" customHeight="1" x14ac:dyDescent="0.25">
      <c r="A84" s="1">
        <v>10083</v>
      </c>
      <c r="B84" s="2">
        <v>45723</v>
      </c>
      <c r="C84" s="1" t="s">
        <v>17</v>
      </c>
      <c r="D84" s="1" t="s">
        <v>35</v>
      </c>
      <c r="E84" s="1" t="s">
        <v>10</v>
      </c>
      <c r="F84" s="1" t="s">
        <v>12</v>
      </c>
      <c r="G84" s="1">
        <v>6</v>
      </c>
      <c r="H84" s="1">
        <v>68922.77</v>
      </c>
      <c r="I84" s="1">
        <v>0.05</v>
      </c>
      <c r="J84" s="1">
        <v>11300.62</v>
      </c>
      <c r="K84" s="1" t="s">
        <v>10</v>
      </c>
    </row>
    <row r="85" spans="1:11" ht="15" customHeight="1" x14ac:dyDescent="0.25">
      <c r="A85" s="1">
        <v>10084</v>
      </c>
      <c r="B85" s="2">
        <v>45732</v>
      </c>
      <c r="C85" s="1" t="s">
        <v>17</v>
      </c>
      <c r="D85" s="1" t="s">
        <v>37</v>
      </c>
      <c r="E85" s="1" t="s">
        <v>8</v>
      </c>
      <c r="F85" s="1" t="s">
        <v>9</v>
      </c>
      <c r="G85" s="1">
        <v>1</v>
      </c>
      <c r="H85" s="1">
        <v>71344.179999999993</v>
      </c>
      <c r="I85" s="1">
        <v>0.2</v>
      </c>
      <c r="J85" s="1">
        <v>2134.19</v>
      </c>
      <c r="K85" s="1" t="s">
        <v>8</v>
      </c>
    </row>
    <row r="86" spans="1:11" ht="15" customHeight="1" x14ac:dyDescent="0.25">
      <c r="A86" s="1">
        <v>10085</v>
      </c>
      <c r="B86" s="2">
        <v>45760</v>
      </c>
      <c r="C86" s="1" t="s">
        <v>23</v>
      </c>
      <c r="D86" s="1" t="s">
        <v>33</v>
      </c>
      <c r="E86" s="1" t="s">
        <v>8</v>
      </c>
      <c r="F86" s="1" t="s">
        <v>11</v>
      </c>
      <c r="G86" s="1">
        <v>6</v>
      </c>
      <c r="H86" s="1">
        <v>43495.63</v>
      </c>
      <c r="I86" s="1">
        <v>0</v>
      </c>
      <c r="J86" s="1">
        <v>5686.21</v>
      </c>
      <c r="K86" s="1" t="s">
        <v>8</v>
      </c>
    </row>
    <row r="87" spans="1:11" ht="15" customHeight="1" x14ac:dyDescent="0.25">
      <c r="A87" s="1">
        <v>10086</v>
      </c>
      <c r="B87" s="2">
        <v>45849</v>
      </c>
      <c r="C87" s="1" t="s">
        <v>19</v>
      </c>
      <c r="D87" s="1" t="s">
        <v>36</v>
      </c>
      <c r="E87" s="1" t="s">
        <v>10</v>
      </c>
      <c r="F87" s="1" t="s">
        <v>13</v>
      </c>
      <c r="G87" s="1">
        <v>4</v>
      </c>
      <c r="H87" s="1">
        <v>27105.53</v>
      </c>
      <c r="I87" s="1">
        <v>0.25</v>
      </c>
      <c r="J87" s="1">
        <v>1142.49</v>
      </c>
      <c r="K87" s="1" t="s">
        <v>10</v>
      </c>
    </row>
    <row r="88" spans="1:11" ht="15" customHeight="1" x14ac:dyDescent="0.25">
      <c r="A88" s="1">
        <v>10087</v>
      </c>
      <c r="B88" s="2">
        <v>45909</v>
      </c>
      <c r="C88" s="1" t="s">
        <v>20</v>
      </c>
      <c r="D88" s="1" t="s">
        <v>39</v>
      </c>
      <c r="E88" s="1" t="s">
        <v>10</v>
      </c>
      <c r="F88" s="1" t="s">
        <v>9</v>
      </c>
      <c r="G88" s="1">
        <v>3</v>
      </c>
      <c r="H88" s="1">
        <v>59172.41</v>
      </c>
      <c r="I88" s="1">
        <v>0.25</v>
      </c>
      <c r="J88" s="1">
        <v>7526.9</v>
      </c>
      <c r="K88" s="1" t="s">
        <v>10</v>
      </c>
    </row>
    <row r="89" spans="1:11" ht="15" customHeight="1" x14ac:dyDescent="0.25">
      <c r="A89" s="1">
        <v>10088</v>
      </c>
      <c r="B89" s="2">
        <v>45883</v>
      </c>
      <c r="C89" s="1" t="s">
        <v>22</v>
      </c>
      <c r="D89" s="1" t="s">
        <v>40</v>
      </c>
      <c r="E89" s="1" t="s">
        <v>10</v>
      </c>
      <c r="F89" s="1" t="s">
        <v>12</v>
      </c>
      <c r="G89" s="1">
        <v>3</v>
      </c>
      <c r="H89" s="1">
        <v>19199.599999999999</v>
      </c>
      <c r="I89" s="1">
        <v>0.1</v>
      </c>
      <c r="J89" s="1">
        <v>6628.85</v>
      </c>
      <c r="K89" s="1" t="s">
        <v>10</v>
      </c>
    </row>
    <row r="90" spans="1:11" ht="15" customHeight="1" x14ac:dyDescent="0.25">
      <c r="A90" s="1">
        <v>10089</v>
      </c>
      <c r="B90" s="2">
        <v>45951</v>
      </c>
      <c r="C90" s="1" t="s">
        <v>24</v>
      </c>
      <c r="D90" s="1" t="s">
        <v>34</v>
      </c>
      <c r="E90" s="1" t="s">
        <v>10</v>
      </c>
      <c r="F90" s="1" t="s">
        <v>13</v>
      </c>
      <c r="G90" s="1">
        <v>6</v>
      </c>
      <c r="H90" s="1">
        <v>42523.519999999997</v>
      </c>
      <c r="I90" s="1">
        <v>0.2</v>
      </c>
      <c r="J90" s="1">
        <v>4918.0200000000004</v>
      </c>
      <c r="K90" s="1" t="s">
        <v>10</v>
      </c>
    </row>
    <row r="91" spans="1:11" ht="15" customHeight="1" x14ac:dyDescent="0.25">
      <c r="A91" s="1">
        <v>10090</v>
      </c>
      <c r="B91" s="2">
        <v>45963</v>
      </c>
      <c r="C91" s="1" t="s">
        <v>23</v>
      </c>
      <c r="D91" s="1" t="s">
        <v>38</v>
      </c>
      <c r="E91" s="1" t="s">
        <v>10</v>
      </c>
      <c r="F91" s="1" t="s">
        <v>11</v>
      </c>
      <c r="G91" s="1">
        <v>2</v>
      </c>
      <c r="H91" s="1">
        <v>27214.1</v>
      </c>
      <c r="I91" s="1">
        <v>0.25</v>
      </c>
      <c r="J91" s="1">
        <v>6280.46</v>
      </c>
      <c r="K91" s="1" t="s">
        <v>10</v>
      </c>
    </row>
    <row r="92" spans="1:11" ht="15" customHeight="1" x14ac:dyDescent="0.25">
      <c r="A92" s="1">
        <v>10091</v>
      </c>
      <c r="B92" s="2">
        <v>45755</v>
      </c>
      <c r="C92" s="1" t="s">
        <v>21</v>
      </c>
      <c r="D92" s="1" t="s">
        <v>37</v>
      </c>
      <c r="E92" s="1" t="s">
        <v>8</v>
      </c>
      <c r="F92" s="1" t="s">
        <v>9</v>
      </c>
      <c r="G92" s="1">
        <v>5</v>
      </c>
      <c r="H92" s="1">
        <v>49419.01</v>
      </c>
      <c r="I92" s="1">
        <v>0</v>
      </c>
      <c r="J92" s="1">
        <v>10764.07</v>
      </c>
      <c r="K92" s="1" t="s">
        <v>8</v>
      </c>
    </row>
    <row r="93" spans="1:11" ht="15" customHeight="1" x14ac:dyDescent="0.25">
      <c r="A93" s="1">
        <v>10092</v>
      </c>
      <c r="B93" s="2">
        <v>45995</v>
      </c>
      <c r="C93" s="1" t="s">
        <v>23</v>
      </c>
      <c r="D93" s="1" t="s">
        <v>34</v>
      </c>
      <c r="E93" s="1" t="s">
        <v>10</v>
      </c>
      <c r="F93" s="1" t="s">
        <v>9</v>
      </c>
      <c r="G93" s="1">
        <v>7</v>
      </c>
      <c r="H93" s="1">
        <v>18409.72</v>
      </c>
      <c r="I93" s="1">
        <v>0</v>
      </c>
      <c r="J93" s="1">
        <v>2395.7199999999998</v>
      </c>
      <c r="K93" s="1" t="s">
        <v>10</v>
      </c>
    </row>
    <row r="94" spans="1:11" ht="15" customHeight="1" x14ac:dyDescent="0.25">
      <c r="A94" s="1">
        <v>10093</v>
      </c>
      <c r="B94" s="2">
        <v>45943</v>
      </c>
      <c r="C94" s="1" t="s">
        <v>19</v>
      </c>
      <c r="D94" s="1" t="s">
        <v>38</v>
      </c>
      <c r="E94" s="1" t="s">
        <v>10</v>
      </c>
      <c r="F94" s="1" t="s">
        <v>9</v>
      </c>
      <c r="G94" s="1">
        <v>5</v>
      </c>
      <c r="H94" s="1">
        <v>14773.67</v>
      </c>
      <c r="I94" s="1">
        <v>0.25</v>
      </c>
      <c r="J94" s="1">
        <v>319.64999999999998</v>
      </c>
      <c r="K94" s="1" t="s">
        <v>10</v>
      </c>
    </row>
    <row r="95" spans="1:11" ht="15" customHeight="1" x14ac:dyDescent="0.25">
      <c r="A95" s="1">
        <v>10094</v>
      </c>
      <c r="B95" s="2">
        <v>45992</v>
      </c>
      <c r="C95" s="1" t="s">
        <v>18</v>
      </c>
      <c r="D95" s="1" t="s">
        <v>39</v>
      </c>
      <c r="E95" s="1" t="s">
        <v>10</v>
      </c>
      <c r="F95" s="1" t="s">
        <v>13</v>
      </c>
      <c r="G95" s="1">
        <v>5</v>
      </c>
      <c r="H95" s="1">
        <v>68908.81</v>
      </c>
      <c r="I95" s="1">
        <v>0.05</v>
      </c>
      <c r="J95" s="1">
        <v>10346.9</v>
      </c>
      <c r="K95" s="1" t="s">
        <v>10</v>
      </c>
    </row>
    <row r="96" spans="1:11" ht="15" customHeight="1" x14ac:dyDescent="0.25">
      <c r="A96" s="1">
        <v>10095</v>
      </c>
      <c r="B96" s="2">
        <v>46004</v>
      </c>
      <c r="C96" s="1" t="s">
        <v>17</v>
      </c>
      <c r="D96" s="1" t="s">
        <v>39</v>
      </c>
      <c r="E96" s="1" t="s">
        <v>10</v>
      </c>
      <c r="F96" s="1" t="s">
        <v>12</v>
      </c>
      <c r="G96" s="1">
        <v>4</v>
      </c>
      <c r="H96" s="1">
        <v>8084.37</v>
      </c>
      <c r="I96" s="1">
        <v>0.2</v>
      </c>
      <c r="J96" s="1">
        <v>6946.55</v>
      </c>
      <c r="K96" s="1" t="s">
        <v>10</v>
      </c>
    </row>
    <row r="97" spans="1:11" ht="15" customHeight="1" x14ac:dyDescent="0.25">
      <c r="A97" s="1">
        <v>10096</v>
      </c>
      <c r="B97" s="2">
        <v>45965</v>
      </c>
      <c r="C97" s="1" t="s">
        <v>17</v>
      </c>
      <c r="D97" s="1" t="s">
        <v>39</v>
      </c>
      <c r="E97" s="1" t="s">
        <v>10</v>
      </c>
      <c r="F97" s="1" t="s">
        <v>12</v>
      </c>
      <c r="G97" s="1">
        <v>5</v>
      </c>
      <c r="H97" s="1">
        <v>38193.86</v>
      </c>
      <c r="I97" s="1">
        <v>0</v>
      </c>
      <c r="J97" s="1">
        <v>10693.37</v>
      </c>
      <c r="K97" s="1" t="s">
        <v>10</v>
      </c>
    </row>
    <row r="98" spans="1:11" ht="15" customHeight="1" x14ac:dyDescent="0.25">
      <c r="A98" s="1">
        <v>10097</v>
      </c>
      <c r="B98" s="2">
        <v>45906</v>
      </c>
      <c r="C98" s="1" t="s">
        <v>25</v>
      </c>
      <c r="D98" s="1" t="s">
        <v>38</v>
      </c>
      <c r="E98" s="1" t="s">
        <v>10</v>
      </c>
      <c r="F98" s="1" t="s">
        <v>9</v>
      </c>
      <c r="G98" s="1">
        <v>3</v>
      </c>
      <c r="H98" s="1">
        <v>16953.53</v>
      </c>
      <c r="I98" s="1">
        <v>0.25</v>
      </c>
      <c r="J98" s="1">
        <v>7183.5</v>
      </c>
      <c r="K98" s="1" t="s">
        <v>10</v>
      </c>
    </row>
    <row r="99" spans="1:11" ht="15" customHeight="1" x14ac:dyDescent="0.25">
      <c r="A99" s="1">
        <v>10098</v>
      </c>
      <c r="B99" s="2">
        <v>45823</v>
      </c>
      <c r="C99" s="1" t="s">
        <v>25</v>
      </c>
      <c r="D99" s="1" t="s">
        <v>34</v>
      </c>
      <c r="E99" s="1" t="s">
        <v>10</v>
      </c>
      <c r="F99" s="1" t="s">
        <v>11</v>
      </c>
      <c r="G99" s="1">
        <v>4</v>
      </c>
      <c r="H99" s="1">
        <v>3400.28</v>
      </c>
      <c r="I99" s="1">
        <v>0</v>
      </c>
      <c r="J99" s="1">
        <v>9731.43</v>
      </c>
      <c r="K99" s="1" t="s">
        <v>10</v>
      </c>
    </row>
    <row r="100" spans="1:11" ht="15" customHeight="1" x14ac:dyDescent="0.25">
      <c r="A100" s="1">
        <v>10099</v>
      </c>
      <c r="B100" s="2">
        <v>45992</v>
      </c>
      <c r="C100" s="1" t="s">
        <v>23</v>
      </c>
      <c r="D100" s="1" t="s">
        <v>39</v>
      </c>
      <c r="E100" s="1" t="s">
        <v>10</v>
      </c>
      <c r="F100" s="1" t="s">
        <v>11</v>
      </c>
      <c r="G100" s="1">
        <v>1</v>
      </c>
      <c r="H100" s="1">
        <v>3183.4</v>
      </c>
      <c r="I100" s="1">
        <v>0.25</v>
      </c>
      <c r="J100" s="1">
        <v>5184.6000000000004</v>
      </c>
      <c r="K100" s="1" t="s">
        <v>10</v>
      </c>
    </row>
    <row r="101" spans="1:11" ht="15" customHeight="1" x14ac:dyDescent="0.25">
      <c r="A101" s="1">
        <v>10100</v>
      </c>
      <c r="B101" s="2">
        <v>45687</v>
      </c>
      <c r="C101" s="1" t="s">
        <v>22</v>
      </c>
      <c r="D101" s="1" t="s">
        <v>35</v>
      </c>
      <c r="E101" s="1" t="s">
        <v>10</v>
      </c>
      <c r="F101" s="1" t="s">
        <v>12</v>
      </c>
      <c r="G101" s="1">
        <v>5</v>
      </c>
      <c r="H101" s="1">
        <v>13554.02</v>
      </c>
      <c r="I101" s="1">
        <v>0.2</v>
      </c>
      <c r="J101" s="1">
        <v>9010.83</v>
      </c>
      <c r="K101" s="1" t="s">
        <v>10</v>
      </c>
    </row>
    <row r="102" spans="1:11" ht="15" customHeight="1" x14ac:dyDescent="0.25">
      <c r="A102" s="1">
        <v>10101</v>
      </c>
      <c r="B102" s="2">
        <v>45904</v>
      </c>
      <c r="C102" s="1" t="s">
        <v>21</v>
      </c>
      <c r="D102" s="1" t="s">
        <v>33</v>
      </c>
      <c r="E102" s="1" t="s">
        <v>8</v>
      </c>
      <c r="F102" s="1" t="s">
        <v>11</v>
      </c>
      <c r="G102" s="1">
        <v>5</v>
      </c>
      <c r="H102" s="1">
        <v>65074.39</v>
      </c>
      <c r="I102" s="1">
        <v>0.25</v>
      </c>
      <c r="J102" s="1">
        <v>10960.85</v>
      </c>
      <c r="K102" s="1" t="s">
        <v>8</v>
      </c>
    </row>
    <row r="103" spans="1:11" ht="15" customHeight="1" x14ac:dyDescent="0.25">
      <c r="A103" s="1">
        <v>10102</v>
      </c>
      <c r="B103" s="2">
        <v>45763</v>
      </c>
      <c r="C103" s="1" t="s">
        <v>18</v>
      </c>
      <c r="D103" s="1" t="s">
        <v>38</v>
      </c>
      <c r="E103" s="1" t="s">
        <v>10</v>
      </c>
      <c r="F103" s="1" t="s">
        <v>12</v>
      </c>
      <c r="G103" s="1">
        <v>1</v>
      </c>
      <c r="H103" s="1">
        <v>21544.67</v>
      </c>
      <c r="I103" s="1">
        <v>0.1</v>
      </c>
      <c r="J103" s="1">
        <v>6886.87</v>
      </c>
      <c r="K103" s="1" t="s">
        <v>10</v>
      </c>
    </row>
    <row r="104" spans="1:11" ht="15" customHeight="1" x14ac:dyDescent="0.25">
      <c r="A104" s="1">
        <v>10103</v>
      </c>
      <c r="B104" s="2">
        <v>45708</v>
      </c>
      <c r="C104" s="1" t="s">
        <v>20</v>
      </c>
      <c r="D104" s="1" t="s">
        <v>38</v>
      </c>
      <c r="E104" s="1" t="s">
        <v>10</v>
      </c>
      <c r="F104" s="1" t="s">
        <v>9</v>
      </c>
      <c r="G104" s="1">
        <v>5</v>
      </c>
      <c r="H104" s="1">
        <v>71309.210000000006</v>
      </c>
      <c r="I104" s="1">
        <v>0.25</v>
      </c>
      <c r="J104" s="1">
        <v>2210.38</v>
      </c>
      <c r="K104" s="1" t="s">
        <v>10</v>
      </c>
    </row>
    <row r="105" spans="1:11" ht="15" customHeight="1" x14ac:dyDescent="0.25">
      <c r="A105" s="1">
        <v>10104</v>
      </c>
      <c r="B105" s="2">
        <v>45738</v>
      </c>
      <c r="C105" s="1" t="s">
        <v>19</v>
      </c>
      <c r="D105" s="1" t="s">
        <v>34</v>
      </c>
      <c r="E105" s="1" t="s">
        <v>10</v>
      </c>
      <c r="F105" s="1" t="s">
        <v>12</v>
      </c>
      <c r="G105" s="1">
        <v>1</v>
      </c>
      <c r="H105" s="1">
        <v>43830.86</v>
      </c>
      <c r="I105" s="1">
        <v>0.25</v>
      </c>
      <c r="J105" s="1">
        <v>3262.13</v>
      </c>
      <c r="K105" s="1" t="s">
        <v>10</v>
      </c>
    </row>
    <row r="106" spans="1:11" ht="15" customHeight="1" x14ac:dyDescent="0.25">
      <c r="A106" s="1">
        <v>10105</v>
      </c>
      <c r="B106" s="2">
        <v>45790</v>
      </c>
      <c r="C106" s="1" t="s">
        <v>22</v>
      </c>
      <c r="D106" s="1" t="s">
        <v>38</v>
      </c>
      <c r="E106" s="1" t="s">
        <v>10</v>
      </c>
      <c r="F106" s="1" t="s">
        <v>12</v>
      </c>
      <c r="G106" s="1">
        <v>4</v>
      </c>
      <c r="H106" s="1">
        <v>33027.760000000002</v>
      </c>
      <c r="I106" s="1">
        <v>0.2</v>
      </c>
      <c r="J106" s="1">
        <v>2423.8000000000002</v>
      </c>
      <c r="K106" s="1" t="s">
        <v>10</v>
      </c>
    </row>
    <row r="107" spans="1:11" ht="15" customHeight="1" x14ac:dyDescent="0.25">
      <c r="A107" s="1">
        <v>10106</v>
      </c>
      <c r="B107" s="2">
        <v>45942</v>
      </c>
      <c r="C107" s="1" t="s">
        <v>21</v>
      </c>
      <c r="D107" s="1" t="s">
        <v>38</v>
      </c>
      <c r="E107" s="1" t="s">
        <v>10</v>
      </c>
      <c r="F107" s="1" t="s">
        <v>9</v>
      </c>
      <c r="G107" s="1">
        <v>3</v>
      </c>
      <c r="H107" s="1">
        <v>43716.62</v>
      </c>
      <c r="I107" s="1">
        <v>0.25</v>
      </c>
      <c r="J107" s="1">
        <v>2999.94</v>
      </c>
      <c r="K107" s="1" t="s">
        <v>10</v>
      </c>
    </row>
    <row r="108" spans="1:11" ht="15" customHeight="1" x14ac:dyDescent="0.25">
      <c r="A108" s="1">
        <v>10107</v>
      </c>
      <c r="B108" s="2">
        <v>45795</v>
      </c>
      <c r="C108" s="1" t="s">
        <v>25</v>
      </c>
      <c r="D108" s="1" t="s">
        <v>39</v>
      </c>
      <c r="E108" s="1" t="s">
        <v>10</v>
      </c>
      <c r="F108" s="1" t="s">
        <v>11</v>
      </c>
      <c r="G108" s="1">
        <v>1</v>
      </c>
      <c r="H108" s="1">
        <v>38994.03</v>
      </c>
      <c r="I108" s="1">
        <v>0.2</v>
      </c>
      <c r="J108" s="1">
        <v>3711.66</v>
      </c>
      <c r="K108" s="1" t="s">
        <v>10</v>
      </c>
    </row>
    <row r="109" spans="1:11" ht="15" customHeight="1" x14ac:dyDescent="0.25">
      <c r="A109" s="1">
        <v>10108</v>
      </c>
      <c r="B109" s="2">
        <v>45841</v>
      </c>
      <c r="C109" s="1" t="s">
        <v>23</v>
      </c>
      <c r="D109" s="1" t="s">
        <v>34</v>
      </c>
      <c r="E109" s="1" t="s">
        <v>10</v>
      </c>
      <c r="F109" s="1" t="s">
        <v>12</v>
      </c>
      <c r="G109" s="1">
        <v>2</v>
      </c>
      <c r="H109" s="1">
        <v>57028.83</v>
      </c>
      <c r="I109" s="1">
        <v>0.1</v>
      </c>
      <c r="J109" s="1">
        <v>6683.85</v>
      </c>
      <c r="K109" s="1" t="s">
        <v>10</v>
      </c>
    </row>
    <row r="110" spans="1:11" ht="15" customHeight="1" x14ac:dyDescent="0.25">
      <c r="A110" s="1">
        <v>10109</v>
      </c>
      <c r="B110" s="2">
        <v>45987</v>
      </c>
      <c r="C110" s="1" t="s">
        <v>19</v>
      </c>
      <c r="D110" s="1" t="s">
        <v>39</v>
      </c>
      <c r="E110" s="1" t="s">
        <v>10</v>
      </c>
      <c r="F110" s="1" t="s">
        <v>12</v>
      </c>
      <c r="G110" s="1">
        <v>1</v>
      </c>
      <c r="H110" s="1">
        <v>21545.96</v>
      </c>
      <c r="I110" s="1">
        <v>0.2</v>
      </c>
      <c r="J110" s="1">
        <v>7076.5</v>
      </c>
      <c r="K110" s="1" t="s">
        <v>10</v>
      </c>
    </row>
    <row r="111" spans="1:11" ht="15" customHeight="1" x14ac:dyDescent="0.25">
      <c r="A111" s="1">
        <v>10110</v>
      </c>
      <c r="B111" s="2">
        <v>45930</v>
      </c>
      <c r="C111" s="1" t="s">
        <v>25</v>
      </c>
      <c r="D111" s="1" t="s">
        <v>33</v>
      </c>
      <c r="E111" s="1" t="s">
        <v>8</v>
      </c>
      <c r="F111" s="1" t="s">
        <v>9</v>
      </c>
      <c r="G111" s="1">
        <v>5</v>
      </c>
      <c r="H111" s="1">
        <v>26802.25</v>
      </c>
      <c r="I111" s="1">
        <v>0</v>
      </c>
      <c r="J111" s="1">
        <v>5146.67</v>
      </c>
      <c r="K111" s="1" t="s">
        <v>8</v>
      </c>
    </row>
    <row r="112" spans="1:11" ht="15" customHeight="1" x14ac:dyDescent="0.25">
      <c r="A112" s="1">
        <v>10111</v>
      </c>
      <c r="B112" s="2">
        <v>45997</v>
      </c>
      <c r="C112" s="1" t="s">
        <v>23</v>
      </c>
      <c r="D112" s="1" t="s">
        <v>37</v>
      </c>
      <c r="E112" s="1" t="s">
        <v>8</v>
      </c>
      <c r="F112" s="1" t="s">
        <v>11</v>
      </c>
      <c r="G112" s="1">
        <v>7</v>
      </c>
      <c r="H112" s="1">
        <v>67110.03</v>
      </c>
      <c r="I112" s="1">
        <v>0.2</v>
      </c>
      <c r="J112" s="1">
        <v>7404.28</v>
      </c>
      <c r="K112" s="1" t="s">
        <v>8</v>
      </c>
    </row>
    <row r="113" spans="1:11" ht="15" customHeight="1" x14ac:dyDescent="0.25">
      <c r="A113" s="1">
        <v>10112</v>
      </c>
      <c r="B113" s="2">
        <v>45726</v>
      </c>
      <c r="C113" s="1" t="s">
        <v>19</v>
      </c>
      <c r="D113" s="1" t="s">
        <v>33</v>
      </c>
      <c r="E113" s="1" t="s">
        <v>8</v>
      </c>
      <c r="F113" s="1" t="s">
        <v>12</v>
      </c>
      <c r="G113" s="1">
        <v>7</v>
      </c>
      <c r="H113" s="1">
        <v>71011.009999999995</v>
      </c>
      <c r="I113" s="1">
        <v>0.1</v>
      </c>
      <c r="J113" s="1">
        <v>1024.82</v>
      </c>
      <c r="K113" s="1" t="s">
        <v>8</v>
      </c>
    </row>
    <row r="114" spans="1:11" ht="15" customHeight="1" x14ac:dyDescent="0.25">
      <c r="A114" s="1">
        <v>10113</v>
      </c>
      <c r="B114" s="2">
        <v>45691</v>
      </c>
      <c r="C114" s="1" t="s">
        <v>20</v>
      </c>
      <c r="D114" s="1" t="s">
        <v>37</v>
      </c>
      <c r="E114" s="1" t="s">
        <v>8</v>
      </c>
      <c r="F114" s="1" t="s">
        <v>9</v>
      </c>
      <c r="G114" s="1">
        <v>4</v>
      </c>
      <c r="H114" s="1">
        <v>66995.59</v>
      </c>
      <c r="I114" s="1">
        <v>0.15</v>
      </c>
      <c r="J114" s="1">
        <v>1099.07</v>
      </c>
      <c r="K114" s="1" t="s">
        <v>8</v>
      </c>
    </row>
    <row r="115" spans="1:11" ht="15" customHeight="1" x14ac:dyDescent="0.25">
      <c r="A115" s="1">
        <v>10114</v>
      </c>
      <c r="B115" s="2">
        <v>45919</v>
      </c>
      <c r="C115" s="1" t="s">
        <v>21</v>
      </c>
      <c r="D115" s="1" t="s">
        <v>39</v>
      </c>
      <c r="E115" s="1" t="s">
        <v>10</v>
      </c>
      <c r="F115" s="1" t="s">
        <v>12</v>
      </c>
      <c r="G115" s="1">
        <v>6</v>
      </c>
      <c r="H115" s="1">
        <v>31748.880000000001</v>
      </c>
      <c r="I115" s="1">
        <v>0.25</v>
      </c>
      <c r="J115" s="1">
        <v>2103.36</v>
      </c>
      <c r="K115" s="1" t="s">
        <v>10</v>
      </c>
    </row>
    <row r="116" spans="1:11" ht="15" customHeight="1" x14ac:dyDescent="0.25">
      <c r="A116" s="1">
        <v>10115</v>
      </c>
      <c r="B116" s="2">
        <v>45710</v>
      </c>
      <c r="C116" s="1" t="s">
        <v>19</v>
      </c>
      <c r="D116" s="1" t="s">
        <v>33</v>
      </c>
      <c r="E116" s="1" t="s">
        <v>8</v>
      </c>
      <c r="F116" s="1" t="s">
        <v>13</v>
      </c>
      <c r="G116" s="1">
        <v>4</v>
      </c>
      <c r="H116" s="1">
        <v>58637.23</v>
      </c>
      <c r="I116" s="1">
        <v>0.2</v>
      </c>
      <c r="J116" s="1">
        <v>6241.03</v>
      </c>
      <c r="K116" s="1" t="s">
        <v>8</v>
      </c>
    </row>
    <row r="117" spans="1:11" ht="15" customHeight="1" x14ac:dyDescent="0.25">
      <c r="A117" s="1">
        <v>10116</v>
      </c>
      <c r="B117" s="2">
        <v>45862</v>
      </c>
      <c r="C117" s="1" t="s">
        <v>18</v>
      </c>
      <c r="D117" s="1" t="s">
        <v>34</v>
      </c>
      <c r="E117" s="1" t="s">
        <v>10</v>
      </c>
      <c r="F117" s="1" t="s">
        <v>9</v>
      </c>
      <c r="G117" s="1">
        <v>6</v>
      </c>
      <c r="H117" s="1">
        <v>35987.01</v>
      </c>
      <c r="I117" s="1">
        <v>0.25</v>
      </c>
      <c r="J117" s="1">
        <v>2607.2399999999998</v>
      </c>
      <c r="K117" s="1" t="s">
        <v>10</v>
      </c>
    </row>
    <row r="118" spans="1:11" ht="15" customHeight="1" x14ac:dyDescent="0.25">
      <c r="A118" s="1">
        <v>10117</v>
      </c>
      <c r="B118" s="2">
        <v>45783</v>
      </c>
      <c r="C118" s="1" t="s">
        <v>22</v>
      </c>
      <c r="D118" s="1" t="s">
        <v>40</v>
      </c>
      <c r="E118" s="1" t="s">
        <v>10</v>
      </c>
      <c r="F118" s="1" t="s">
        <v>11</v>
      </c>
      <c r="G118" s="1">
        <v>7</v>
      </c>
      <c r="H118" s="1">
        <v>37566.720000000001</v>
      </c>
      <c r="I118" s="1">
        <v>0.05</v>
      </c>
      <c r="J118" s="1">
        <v>3435.25</v>
      </c>
      <c r="K118" s="1" t="s">
        <v>10</v>
      </c>
    </row>
    <row r="119" spans="1:11" ht="15" customHeight="1" x14ac:dyDescent="0.25">
      <c r="A119" s="1">
        <v>10118</v>
      </c>
      <c r="B119" s="2">
        <v>45892</v>
      </c>
      <c r="C119" s="1" t="s">
        <v>17</v>
      </c>
      <c r="D119" s="1" t="s">
        <v>39</v>
      </c>
      <c r="E119" s="1" t="s">
        <v>10</v>
      </c>
      <c r="F119" s="1" t="s">
        <v>11</v>
      </c>
      <c r="G119" s="1">
        <v>7</v>
      </c>
      <c r="H119" s="1">
        <v>15748.67</v>
      </c>
      <c r="I119" s="1">
        <v>0</v>
      </c>
      <c r="J119" s="1">
        <v>4833.74</v>
      </c>
      <c r="K119" s="1" t="s">
        <v>10</v>
      </c>
    </row>
    <row r="120" spans="1:11" ht="15" customHeight="1" x14ac:dyDescent="0.25">
      <c r="A120" s="1">
        <v>10119</v>
      </c>
      <c r="B120" s="2">
        <v>45700</v>
      </c>
      <c r="C120" s="1" t="s">
        <v>18</v>
      </c>
      <c r="D120" s="1" t="s">
        <v>37</v>
      </c>
      <c r="E120" s="1" t="s">
        <v>8</v>
      </c>
      <c r="F120" s="1" t="s">
        <v>11</v>
      </c>
      <c r="G120" s="1">
        <v>1</v>
      </c>
      <c r="H120" s="1">
        <v>44539.21</v>
      </c>
      <c r="I120" s="1">
        <v>0</v>
      </c>
      <c r="J120" s="1">
        <v>9751.7999999999993</v>
      </c>
      <c r="K120" s="1" t="s">
        <v>8</v>
      </c>
    </row>
    <row r="121" spans="1:11" ht="15" customHeight="1" x14ac:dyDescent="0.25">
      <c r="A121" s="1">
        <v>10120</v>
      </c>
      <c r="B121" s="2">
        <v>45897</v>
      </c>
      <c r="C121" s="1" t="s">
        <v>18</v>
      </c>
      <c r="D121" s="1" t="s">
        <v>35</v>
      </c>
      <c r="E121" s="1" t="s">
        <v>10</v>
      </c>
      <c r="F121" s="1" t="s">
        <v>11</v>
      </c>
      <c r="G121" s="1">
        <v>3</v>
      </c>
      <c r="H121" s="1">
        <v>14367.12</v>
      </c>
      <c r="I121" s="1">
        <v>0.05</v>
      </c>
      <c r="J121" s="1">
        <v>215.65</v>
      </c>
      <c r="K121" s="1" t="s">
        <v>10</v>
      </c>
    </row>
    <row r="122" spans="1:11" ht="15" customHeight="1" x14ac:dyDescent="0.25">
      <c r="A122" s="1">
        <v>10121</v>
      </c>
      <c r="B122" s="2">
        <v>45768</v>
      </c>
      <c r="C122" s="1" t="s">
        <v>22</v>
      </c>
      <c r="D122" s="1" t="s">
        <v>37</v>
      </c>
      <c r="E122" s="1" t="s">
        <v>8</v>
      </c>
      <c r="F122" s="1" t="s">
        <v>12</v>
      </c>
      <c r="G122" s="1">
        <v>2</v>
      </c>
      <c r="H122" s="1">
        <v>25201.57</v>
      </c>
      <c r="I122" s="1">
        <v>0.05</v>
      </c>
      <c r="J122" s="1">
        <v>7810.08</v>
      </c>
      <c r="K122" s="1" t="s">
        <v>8</v>
      </c>
    </row>
    <row r="123" spans="1:11" ht="15" customHeight="1" x14ac:dyDescent="0.25">
      <c r="A123" s="1">
        <v>10122</v>
      </c>
      <c r="B123" s="2">
        <v>45906</v>
      </c>
      <c r="C123" s="1" t="s">
        <v>17</v>
      </c>
      <c r="D123" s="1" t="s">
        <v>35</v>
      </c>
      <c r="E123" s="1" t="s">
        <v>10</v>
      </c>
      <c r="F123" s="1" t="s">
        <v>12</v>
      </c>
      <c r="G123" s="1">
        <v>4</v>
      </c>
      <c r="H123" s="1">
        <v>64199.75</v>
      </c>
      <c r="I123" s="1">
        <v>0.2</v>
      </c>
      <c r="J123" s="1">
        <v>8043.07</v>
      </c>
      <c r="K123" s="1" t="s">
        <v>10</v>
      </c>
    </row>
    <row r="124" spans="1:11" ht="15" customHeight="1" x14ac:dyDescent="0.25">
      <c r="A124" s="1">
        <v>10123</v>
      </c>
      <c r="B124" s="2">
        <v>45808</v>
      </c>
      <c r="C124" s="1" t="s">
        <v>18</v>
      </c>
      <c r="D124" s="1" t="s">
        <v>38</v>
      </c>
      <c r="E124" s="1" t="s">
        <v>10</v>
      </c>
      <c r="F124" s="1" t="s">
        <v>11</v>
      </c>
      <c r="G124" s="1">
        <v>5</v>
      </c>
      <c r="H124" s="1">
        <v>15927.15</v>
      </c>
      <c r="I124" s="1">
        <v>0.05</v>
      </c>
      <c r="J124" s="1">
        <v>9593.94</v>
      </c>
      <c r="K124" s="1" t="s">
        <v>10</v>
      </c>
    </row>
    <row r="125" spans="1:11" ht="15" customHeight="1" x14ac:dyDescent="0.25">
      <c r="A125" s="1">
        <v>10124</v>
      </c>
      <c r="B125" s="2">
        <v>45840</v>
      </c>
      <c r="C125" s="1" t="s">
        <v>19</v>
      </c>
      <c r="D125" s="1" t="s">
        <v>33</v>
      </c>
      <c r="E125" s="1" t="s">
        <v>8</v>
      </c>
      <c r="F125" s="1" t="s">
        <v>11</v>
      </c>
      <c r="G125" s="1">
        <v>6</v>
      </c>
      <c r="H125" s="1">
        <v>5801.29</v>
      </c>
      <c r="I125" s="1">
        <v>0.15</v>
      </c>
      <c r="J125" s="1">
        <v>11196.4</v>
      </c>
      <c r="K125" s="1" t="s">
        <v>8</v>
      </c>
    </row>
    <row r="126" spans="1:11" ht="15" customHeight="1" x14ac:dyDescent="0.25">
      <c r="A126" s="1">
        <v>10125</v>
      </c>
      <c r="B126" s="2">
        <v>45993</v>
      </c>
      <c r="C126" s="1" t="s">
        <v>19</v>
      </c>
      <c r="D126" s="1" t="s">
        <v>35</v>
      </c>
      <c r="E126" s="1" t="s">
        <v>10</v>
      </c>
      <c r="F126" s="1" t="s">
        <v>11</v>
      </c>
      <c r="G126" s="1">
        <v>5</v>
      </c>
      <c r="H126" s="1">
        <v>5641.07</v>
      </c>
      <c r="I126" s="1">
        <v>0.25</v>
      </c>
      <c r="J126" s="1">
        <v>290.64999999999998</v>
      </c>
      <c r="K126" s="1" t="s">
        <v>10</v>
      </c>
    </row>
    <row r="127" spans="1:11" ht="15" customHeight="1" x14ac:dyDescent="0.25">
      <c r="A127" s="1">
        <v>10126</v>
      </c>
      <c r="B127" s="2">
        <v>45752</v>
      </c>
      <c r="C127" s="1" t="s">
        <v>19</v>
      </c>
      <c r="D127" s="1" t="s">
        <v>37</v>
      </c>
      <c r="E127" s="1" t="s">
        <v>8</v>
      </c>
      <c r="F127" s="1" t="s">
        <v>12</v>
      </c>
      <c r="G127" s="1">
        <v>3</v>
      </c>
      <c r="H127" s="1">
        <v>70588.45</v>
      </c>
      <c r="I127" s="1">
        <v>0.25</v>
      </c>
      <c r="J127" s="1">
        <v>1887.72</v>
      </c>
      <c r="K127" s="1" t="s">
        <v>8</v>
      </c>
    </row>
    <row r="128" spans="1:11" ht="15" customHeight="1" x14ac:dyDescent="0.25">
      <c r="A128" s="1">
        <v>10127</v>
      </c>
      <c r="B128" s="2">
        <v>45665</v>
      </c>
      <c r="C128" s="1" t="s">
        <v>17</v>
      </c>
      <c r="D128" s="1" t="s">
        <v>38</v>
      </c>
      <c r="E128" s="1" t="s">
        <v>10</v>
      </c>
      <c r="F128" s="1" t="s">
        <v>11</v>
      </c>
      <c r="G128" s="1">
        <v>6</v>
      </c>
      <c r="H128" s="1">
        <v>38265.57</v>
      </c>
      <c r="I128" s="1">
        <v>0.1</v>
      </c>
      <c r="J128" s="1">
        <v>10639.75</v>
      </c>
      <c r="K128" s="1" t="s">
        <v>10</v>
      </c>
    </row>
    <row r="129" spans="1:11" ht="15" customHeight="1" x14ac:dyDescent="0.25">
      <c r="A129" s="1">
        <v>10128</v>
      </c>
      <c r="B129" s="2">
        <v>46017</v>
      </c>
      <c r="C129" s="1" t="s">
        <v>18</v>
      </c>
      <c r="D129" s="1" t="s">
        <v>40</v>
      </c>
      <c r="E129" s="1" t="s">
        <v>10</v>
      </c>
      <c r="F129" s="1" t="s">
        <v>11</v>
      </c>
      <c r="G129" s="1">
        <v>4</v>
      </c>
      <c r="H129" s="1">
        <v>31001.200000000001</v>
      </c>
      <c r="I129" s="1">
        <v>0.05</v>
      </c>
      <c r="J129" s="1">
        <v>5529.3</v>
      </c>
      <c r="K129" s="1" t="s">
        <v>10</v>
      </c>
    </row>
    <row r="130" spans="1:11" ht="15" customHeight="1" x14ac:dyDescent="0.25">
      <c r="A130" s="1">
        <v>10129</v>
      </c>
      <c r="B130" s="2">
        <v>45841</v>
      </c>
      <c r="C130" s="1" t="s">
        <v>23</v>
      </c>
      <c r="D130" s="1" t="s">
        <v>34</v>
      </c>
      <c r="E130" s="1" t="s">
        <v>10</v>
      </c>
      <c r="F130" s="1" t="s">
        <v>13</v>
      </c>
      <c r="G130" s="1">
        <v>1</v>
      </c>
      <c r="H130" s="1">
        <v>60910.45</v>
      </c>
      <c r="I130" s="1">
        <v>0.05</v>
      </c>
      <c r="J130" s="1">
        <v>6796.86</v>
      </c>
      <c r="K130" s="1" t="s">
        <v>10</v>
      </c>
    </row>
    <row r="131" spans="1:11" ht="15" customHeight="1" x14ac:dyDescent="0.25">
      <c r="A131" s="1">
        <v>10130</v>
      </c>
      <c r="B131" s="2">
        <v>45938</v>
      </c>
      <c r="C131" s="1" t="s">
        <v>17</v>
      </c>
      <c r="D131" s="1" t="s">
        <v>34</v>
      </c>
      <c r="E131" s="1" t="s">
        <v>10</v>
      </c>
      <c r="F131" s="1" t="s">
        <v>13</v>
      </c>
      <c r="G131" s="1">
        <v>5</v>
      </c>
      <c r="H131" s="1">
        <v>62769.03</v>
      </c>
      <c r="I131" s="1">
        <v>0.15</v>
      </c>
      <c r="J131" s="1">
        <v>7973.18</v>
      </c>
      <c r="K131" s="1" t="s">
        <v>10</v>
      </c>
    </row>
    <row r="132" spans="1:11" ht="15" customHeight="1" x14ac:dyDescent="0.25">
      <c r="A132" s="1">
        <v>10131</v>
      </c>
      <c r="B132" s="2">
        <v>45852</v>
      </c>
      <c r="C132" s="1" t="s">
        <v>19</v>
      </c>
      <c r="D132" s="1" t="s">
        <v>34</v>
      </c>
      <c r="E132" s="1" t="s">
        <v>10</v>
      </c>
      <c r="F132" s="1" t="s">
        <v>11</v>
      </c>
      <c r="G132" s="1">
        <v>3</v>
      </c>
      <c r="H132" s="1">
        <v>25248.23</v>
      </c>
      <c r="I132" s="1">
        <v>0</v>
      </c>
      <c r="J132" s="1">
        <v>8164.85</v>
      </c>
      <c r="K132" s="1" t="s">
        <v>10</v>
      </c>
    </row>
    <row r="133" spans="1:11" ht="15" customHeight="1" x14ac:dyDescent="0.25">
      <c r="A133" s="1">
        <v>10132</v>
      </c>
      <c r="B133" s="2">
        <v>46009</v>
      </c>
      <c r="C133" s="1" t="s">
        <v>22</v>
      </c>
      <c r="D133" s="1" t="s">
        <v>35</v>
      </c>
      <c r="E133" s="1" t="s">
        <v>10</v>
      </c>
      <c r="F133" s="1" t="s">
        <v>9</v>
      </c>
      <c r="G133" s="1">
        <v>4</v>
      </c>
      <c r="H133" s="1">
        <v>52174.55</v>
      </c>
      <c r="I133" s="1">
        <v>0</v>
      </c>
      <c r="J133" s="1">
        <v>11184.3</v>
      </c>
      <c r="K133" s="1" t="s">
        <v>10</v>
      </c>
    </row>
    <row r="134" spans="1:11" ht="15" customHeight="1" x14ac:dyDescent="0.25">
      <c r="A134" s="1">
        <v>10133</v>
      </c>
      <c r="B134" s="2">
        <v>45852</v>
      </c>
      <c r="C134" s="1" t="s">
        <v>18</v>
      </c>
      <c r="D134" s="1" t="s">
        <v>40</v>
      </c>
      <c r="E134" s="1" t="s">
        <v>10</v>
      </c>
      <c r="F134" s="1" t="s">
        <v>11</v>
      </c>
      <c r="G134" s="1">
        <v>7</v>
      </c>
      <c r="H134" s="1">
        <v>57948.65</v>
      </c>
      <c r="I134" s="1">
        <v>0.25</v>
      </c>
      <c r="J134" s="1">
        <v>11963.55</v>
      </c>
      <c r="K134" s="1" t="s">
        <v>10</v>
      </c>
    </row>
    <row r="135" spans="1:11" ht="15" customHeight="1" x14ac:dyDescent="0.25">
      <c r="A135" s="1">
        <v>10134</v>
      </c>
      <c r="B135" s="2">
        <v>45812</v>
      </c>
      <c r="C135" s="1" t="s">
        <v>18</v>
      </c>
      <c r="D135" s="1" t="s">
        <v>35</v>
      </c>
      <c r="E135" s="1" t="s">
        <v>10</v>
      </c>
      <c r="F135" s="1" t="s">
        <v>13</v>
      </c>
      <c r="G135" s="1">
        <v>7</v>
      </c>
      <c r="H135" s="1">
        <v>49271.48</v>
      </c>
      <c r="I135" s="1">
        <v>0.25</v>
      </c>
      <c r="J135" s="1">
        <v>8655.8799999999992</v>
      </c>
      <c r="K135" s="1" t="s">
        <v>10</v>
      </c>
    </row>
    <row r="136" spans="1:11" ht="15" customHeight="1" x14ac:dyDescent="0.25">
      <c r="A136" s="1">
        <v>10135</v>
      </c>
      <c r="B136" s="2">
        <v>45750</v>
      </c>
      <c r="C136" s="1" t="s">
        <v>25</v>
      </c>
      <c r="D136" s="1" t="s">
        <v>33</v>
      </c>
      <c r="E136" s="1" t="s">
        <v>8</v>
      </c>
      <c r="F136" s="1" t="s">
        <v>9</v>
      </c>
      <c r="G136" s="1">
        <v>4</v>
      </c>
      <c r="H136" s="1">
        <v>11793.83</v>
      </c>
      <c r="I136" s="1">
        <v>0.2</v>
      </c>
      <c r="J136" s="1">
        <v>3482.29</v>
      </c>
      <c r="K136" s="1" t="s">
        <v>8</v>
      </c>
    </row>
    <row r="137" spans="1:11" ht="15" customHeight="1" x14ac:dyDescent="0.25">
      <c r="A137" s="1">
        <v>10136</v>
      </c>
      <c r="B137" s="2">
        <v>45817</v>
      </c>
      <c r="C137" s="1" t="s">
        <v>25</v>
      </c>
      <c r="D137" s="1" t="s">
        <v>35</v>
      </c>
      <c r="E137" s="1" t="s">
        <v>10</v>
      </c>
      <c r="F137" s="1" t="s">
        <v>9</v>
      </c>
      <c r="G137" s="1">
        <v>4</v>
      </c>
      <c r="H137" s="1">
        <v>65753.289999999994</v>
      </c>
      <c r="I137" s="1">
        <v>0.15</v>
      </c>
      <c r="J137" s="1">
        <v>10563.04</v>
      </c>
      <c r="K137" s="1" t="s">
        <v>10</v>
      </c>
    </row>
    <row r="138" spans="1:11" ht="15" customHeight="1" x14ac:dyDescent="0.25">
      <c r="A138" s="1">
        <v>10137</v>
      </c>
      <c r="B138" s="2">
        <v>45718</v>
      </c>
      <c r="C138" s="1" t="s">
        <v>20</v>
      </c>
      <c r="D138" s="1" t="s">
        <v>40</v>
      </c>
      <c r="E138" s="1" t="s">
        <v>10</v>
      </c>
      <c r="F138" s="1" t="s">
        <v>11</v>
      </c>
      <c r="G138" s="1">
        <v>4</v>
      </c>
      <c r="H138" s="1">
        <v>40662.54</v>
      </c>
      <c r="I138" s="1">
        <v>0.1</v>
      </c>
      <c r="J138" s="1">
        <v>638.19000000000005</v>
      </c>
      <c r="K138" s="1" t="s">
        <v>10</v>
      </c>
    </row>
    <row r="139" spans="1:11" ht="15" customHeight="1" x14ac:dyDescent="0.25">
      <c r="A139" s="1">
        <v>10138</v>
      </c>
      <c r="B139" s="2">
        <v>45779</v>
      </c>
      <c r="C139" s="1" t="s">
        <v>23</v>
      </c>
      <c r="D139" s="1" t="s">
        <v>40</v>
      </c>
      <c r="E139" s="1" t="s">
        <v>10</v>
      </c>
      <c r="F139" s="1" t="s">
        <v>13</v>
      </c>
      <c r="G139" s="1">
        <v>6</v>
      </c>
      <c r="H139" s="1">
        <v>21544.2</v>
      </c>
      <c r="I139" s="1">
        <v>0.1</v>
      </c>
      <c r="J139" s="1">
        <v>2811.42</v>
      </c>
      <c r="K139" s="1" t="s">
        <v>10</v>
      </c>
    </row>
    <row r="140" spans="1:11" ht="15" customHeight="1" x14ac:dyDescent="0.25">
      <c r="A140" s="1">
        <v>10139</v>
      </c>
      <c r="B140" s="2">
        <v>45708</v>
      </c>
      <c r="C140" s="1" t="s">
        <v>23</v>
      </c>
      <c r="D140" s="1" t="s">
        <v>33</v>
      </c>
      <c r="E140" s="1" t="s">
        <v>8</v>
      </c>
      <c r="F140" s="1" t="s">
        <v>13</v>
      </c>
      <c r="G140" s="1">
        <v>4</v>
      </c>
      <c r="H140" s="1">
        <v>32179.5</v>
      </c>
      <c r="I140" s="1">
        <v>0.15</v>
      </c>
      <c r="J140" s="1">
        <v>10773.76</v>
      </c>
      <c r="K140" s="1" t="s">
        <v>8</v>
      </c>
    </row>
    <row r="141" spans="1:11" ht="15" customHeight="1" x14ac:dyDescent="0.25">
      <c r="A141" s="1">
        <v>10140</v>
      </c>
      <c r="B141" s="2">
        <v>45934</v>
      </c>
      <c r="C141" s="1" t="s">
        <v>21</v>
      </c>
      <c r="D141" s="1" t="s">
        <v>40</v>
      </c>
      <c r="E141" s="1" t="s">
        <v>10</v>
      </c>
      <c r="F141" s="1" t="s">
        <v>9</v>
      </c>
      <c r="G141" s="1">
        <v>5</v>
      </c>
      <c r="H141" s="1">
        <v>3299.05</v>
      </c>
      <c r="I141" s="1">
        <v>0.1</v>
      </c>
      <c r="J141" s="1">
        <v>3111.49</v>
      </c>
      <c r="K141" s="1" t="s">
        <v>10</v>
      </c>
    </row>
    <row r="142" spans="1:11" ht="15" customHeight="1" x14ac:dyDescent="0.25">
      <c r="A142" s="1">
        <v>10141</v>
      </c>
      <c r="B142" s="2">
        <v>45662</v>
      </c>
      <c r="C142" s="1" t="s">
        <v>23</v>
      </c>
      <c r="D142" s="1" t="s">
        <v>37</v>
      </c>
      <c r="E142" s="1" t="s">
        <v>8</v>
      </c>
      <c r="F142" s="1" t="s">
        <v>11</v>
      </c>
      <c r="G142" s="1">
        <v>3</v>
      </c>
      <c r="H142" s="1">
        <v>10026.08</v>
      </c>
      <c r="I142" s="1">
        <v>0</v>
      </c>
      <c r="J142" s="1">
        <v>2686.78</v>
      </c>
      <c r="K142" s="1" t="s">
        <v>8</v>
      </c>
    </row>
    <row r="143" spans="1:11" ht="15" customHeight="1" x14ac:dyDescent="0.25">
      <c r="A143" s="1">
        <v>10142</v>
      </c>
      <c r="B143" s="2">
        <v>45749</v>
      </c>
      <c r="C143" s="1" t="s">
        <v>25</v>
      </c>
      <c r="D143" s="1" t="s">
        <v>40</v>
      </c>
      <c r="E143" s="1" t="s">
        <v>10</v>
      </c>
      <c r="F143" s="1" t="s">
        <v>12</v>
      </c>
      <c r="G143" s="1">
        <v>6</v>
      </c>
      <c r="H143" s="1">
        <v>57533.23</v>
      </c>
      <c r="I143" s="1">
        <v>0.1</v>
      </c>
      <c r="J143" s="1">
        <v>1700.6</v>
      </c>
      <c r="K143" s="1" t="s">
        <v>10</v>
      </c>
    </row>
    <row r="144" spans="1:11" ht="15" customHeight="1" x14ac:dyDescent="0.25">
      <c r="A144" s="1">
        <v>10143</v>
      </c>
      <c r="B144" s="2">
        <v>45827</v>
      </c>
      <c r="C144" s="1" t="s">
        <v>17</v>
      </c>
      <c r="D144" s="1" t="s">
        <v>34</v>
      </c>
      <c r="E144" s="1" t="s">
        <v>10</v>
      </c>
      <c r="F144" s="1" t="s">
        <v>12</v>
      </c>
      <c r="G144" s="1">
        <v>4</v>
      </c>
      <c r="H144" s="1">
        <v>500.87</v>
      </c>
      <c r="I144" s="1">
        <v>0.1</v>
      </c>
      <c r="J144" s="1">
        <v>10316.39</v>
      </c>
      <c r="K144" s="1" t="s">
        <v>10</v>
      </c>
    </row>
    <row r="145" spans="1:11" ht="15" customHeight="1" x14ac:dyDescent="0.25">
      <c r="A145" s="1">
        <v>10144</v>
      </c>
      <c r="B145" s="2">
        <v>45974</v>
      </c>
      <c r="C145" s="1" t="s">
        <v>23</v>
      </c>
      <c r="D145" s="1" t="s">
        <v>37</v>
      </c>
      <c r="E145" s="1" t="s">
        <v>8</v>
      </c>
      <c r="F145" s="1" t="s">
        <v>13</v>
      </c>
      <c r="G145" s="1">
        <v>2</v>
      </c>
      <c r="H145" s="1">
        <v>31534.15</v>
      </c>
      <c r="I145" s="1">
        <v>0.15</v>
      </c>
      <c r="J145" s="1">
        <v>6025.7</v>
      </c>
      <c r="K145" s="1" t="s">
        <v>8</v>
      </c>
    </row>
    <row r="146" spans="1:11" ht="15" customHeight="1" x14ac:dyDescent="0.25">
      <c r="A146" s="1">
        <v>10145</v>
      </c>
      <c r="B146" s="2">
        <v>45679</v>
      </c>
      <c r="C146" s="1" t="s">
        <v>25</v>
      </c>
      <c r="D146" s="1" t="s">
        <v>37</v>
      </c>
      <c r="E146" s="1" t="s">
        <v>8</v>
      </c>
      <c r="F146" s="1" t="s">
        <v>12</v>
      </c>
      <c r="G146" s="1">
        <v>2</v>
      </c>
      <c r="H146" s="1">
        <v>39427.01</v>
      </c>
      <c r="I146" s="1">
        <v>0.15</v>
      </c>
      <c r="J146" s="1">
        <v>8114.97</v>
      </c>
      <c r="K146" s="1" t="s">
        <v>8</v>
      </c>
    </row>
    <row r="147" spans="1:11" ht="15" customHeight="1" x14ac:dyDescent="0.25">
      <c r="A147" s="1">
        <v>10146</v>
      </c>
      <c r="B147" s="2">
        <v>45983</v>
      </c>
      <c r="C147" s="1" t="s">
        <v>20</v>
      </c>
      <c r="D147" s="1" t="s">
        <v>33</v>
      </c>
      <c r="E147" s="1" t="s">
        <v>8</v>
      </c>
      <c r="F147" s="1" t="s">
        <v>13</v>
      </c>
      <c r="G147" s="1">
        <v>3</v>
      </c>
      <c r="I147" s="1">
        <v>0.1</v>
      </c>
      <c r="J147" s="1">
        <v>2906.84</v>
      </c>
      <c r="K147" s="1" t="s">
        <v>8</v>
      </c>
    </row>
    <row r="148" spans="1:11" ht="15" customHeight="1" x14ac:dyDescent="0.25">
      <c r="A148" s="1">
        <v>10147</v>
      </c>
      <c r="B148" s="2">
        <v>45658</v>
      </c>
      <c r="C148" s="1" t="s">
        <v>18</v>
      </c>
      <c r="D148" s="1" t="s">
        <v>36</v>
      </c>
      <c r="E148" s="1" t="s">
        <v>10</v>
      </c>
      <c r="F148" s="1" t="s">
        <v>13</v>
      </c>
      <c r="G148" s="1">
        <v>7</v>
      </c>
      <c r="H148" s="1">
        <v>72994.320000000007</v>
      </c>
      <c r="I148" s="1">
        <v>0.05</v>
      </c>
      <c r="J148" s="1">
        <v>9108.58</v>
      </c>
      <c r="K148" s="1" t="s">
        <v>10</v>
      </c>
    </row>
    <row r="149" spans="1:11" ht="15" customHeight="1" x14ac:dyDescent="0.25">
      <c r="A149" s="1">
        <v>10148</v>
      </c>
      <c r="B149" s="2">
        <v>45790</v>
      </c>
      <c r="C149" s="1" t="s">
        <v>23</v>
      </c>
      <c r="D149" s="1" t="s">
        <v>36</v>
      </c>
      <c r="E149" s="1" t="s">
        <v>10</v>
      </c>
      <c r="F149" s="1" t="s">
        <v>13</v>
      </c>
      <c r="G149" s="1">
        <v>1</v>
      </c>
      <c r="H149" s="1">
        <v>17346.34</v>
      </c>
      <c r="I149" s="1">
        <v>0.15</v>
      </c>
      <c r="J149" s="1">
        <v>9132.07</v>
      </c>
      <c r="K149" s="1" t="s">
        <v>10</v>
      </c>
    </row>
    <row r="150" spans="1:11" ht="15" customHeight="1" x14ac:dyDescent="0.25">
      <c r="A150" s="1">
        <v>10149</v>
      </c>
      <c r="B150" s="2">
        <v>45890</v>
      </c>
      <c r="C150" s="1" t="s">
        <v>20</v>
      </c>
      <c r="D150" s="1" t="s">
        <v>40</v>
      </c>
      <c r="E150" s="1" t="s">
        <v>10</v>
      </c>
      <c r="F150" s="1" t="s">
        <v>12</v>
      </c>
      <c r="G150" s="1">
        <v>1</v>
      </c>
      <c r="H150" s="1">
        <v>23162.799999999999</v>
      </c>
      <c r="I150" s="1">
        <v>0.2</v>
      </c>
      <c r="J150" s="1">
        <v>3785.55</v>
      </c>
      <c r="K150" s="1" t="s">
        <v>10</v>
      </c>
    </row>
    <row r="151" spans="1:11" ht="15" customHeight="1" x14ac:dyDescent="0.25">
      <c r="A151" s="1">
        <v>10150</v>
      </c>
      <c r="B151" s="2">
        <v>45669</v>
      </c>
      <c r="C151" s="1" t="s">
        <v>18</v>
      </c>
      <c r="D151" s="1" t="s">
        <v>37</v>
      </c>
      <c r="E151" s="1" t="s">
        <v>8</v>
      </c>
      <c r="F151" s="1" t="s">
        <v>13</v>
      </c>
      <c r="G151" s="1">
        <v>7</v>
      </c>
      <c r="H151" s="1">
        <v>23143.72</v>
      </c>
      <c r="I151" s="1">
        <v>0.2</v>
      </c>
      <c r="J151" s="1">
        <v>4957.66</v>
      </c>
      <c r="K151" s="1" t="s">
        <v>8</v>
      </c>
    </row>
    <row r="152" spans="1:11" ht="15" customHeight="1" x14ac:dyDescent="0.25">
      <c r="A152" s="1">
        <v>10151</v>
      </c>
      <c r="B152" s="2">
        <v>46003</v>
      </c>
      <c r="C152" s="1" t="s">
        <v>22</v>
      </c>
      <c r="D152" s="1" t="s">
        <v>36</v>
      </c>
      <c r="E152" s="1" t="s">
        <v>10</v>
      </c>
      <c r="F152" s="1" t="s">
        <v>9</v>
      </c>
      <c r="G152" s="1">
        <v>6</v>
      </c>
      <c r="H152" s="1">
        <v>17666.04</v>
      </c>
      <c r="I152" s="1">
        <v>0</v>
      </c>
      <c r="J152" s="1">
        <v>2555.8000000000002</v>
      </c>
      <c r="K152" s="1" t="s">
        <v>10</v>
      </c>
    </row>
    <row r="153" spans="1:11" ht="15" customHeight="1" x14ac:dyDescent="0.25">
      <c r="A153" s="1">
        <v>10152</v>
      </c>
      <c r="B153" s="2">
        <v>45703</v>
      </c>
      <c r="C153" s="1" t="s">
        <v>22</v>
      </c>
      <c r="D153" s="1" t="s">
        <v>36</v>
      </c>
      <c r="E153" s="1" t="s">
        <v>10</v>
      </c>
      <c r="F153" s="1" t="s">
        <v>11</v>
      </c>
      <c r="G153" s="1">
        <v>6</v>
      </c>
      <c r="H153" s="1">
        <v>609.79999999999995</v>
      </c>
      <c r="I153" s="1">
        <v>0.1</v>
      </c>
      <c r="J153" s="1">
        <v>11719.9</v>
      </c>
      <c r="K153" s="1" t="s">
        <v>10</v>
      </c>
    </row>
    <row r="154" spans="1:11" ht="15" customHeight="1" x14ac:dyDescent="0.25">
      <c r="A154" s="1">
        <v>10153</v>
      </c>
      <c r="B154" s="2">
        <v>45691</v>
      </c>
      <c r="C154" s="1" t="s">
        <v>18</v>
      </c>
      <c r="D154" s="1" t="s">
        <v>40</v>
      </c>
      <c r="E154" s="1" t="s">
        <v>10</v>
      </c>
      <c r="F154" s="1" t="s">
        <v>11</v>
      </c>
      <c r="G154" s="1">
        <v>6</v>
      </c>
      <c r="H154" s="1">
        <v>54836.19</v>
      </c>
      <c r="I154" s="1">
        <v>0.05</v>
      </c>
      <c r="J154" s="1">
        <v>7764.95</v>
      </c>
      <c r="K154" s="1" t="s">
        <v>10</v>
      </c>
    </row>
    <row r="155" spans="1:11" ht="15" customHeight="1" x14ac:dyDescent="0.25">
      <c r="A155" s="1">
        <v>10154</v>
      </c>
      <c r="B155" s="2">
        <v>45735</v>
      </c>
      <c r="C155" s="1" t="s">
        <v>23</v>
      </c>
      <c r="D155" s="1" t="s">
        <v>36</v>
      </c>
      <c r="E155" s="1" t="s">
        <v>10</v>
      </c>
      <c r="F155" s="1" t="s">
        <v>13</v>
      </c>
      <c r="G155" s="1">
        <v>1</v>
      </c>
      <c r="H155" s="1">
        <v>72529.990000000005</v>
      </c>
      <c r="I155" s="1">
        <v>0</v>
      </c>
      <c r="J155" s="1">
        <v>11217.8</v>
      </c>
      <c r="K155" s="1" t="s">
        <v>10</v>
      </c>
    </row>
    <row r="156" spans="1:11" ht="15" customHeight="1" x14ac:dyDescent="0.25">
      <c r="A156" s="1">
        <v>10155</v>
      </c>
      <c r="B156" s="2">
        <v>45875</v>
      </c>
      <c r="C156" s="1" t="s">
        <v>21</v>
      </c>
      <c r="D156" s="1" t="s">
        <v>35</v>
      </c>
      <c r="E156" s="1" t="s">
        <v>10</v>
      </c>
      <c r="F156" s="1" t="s">
        <v>11</v>
      </c>
      <c r="G156" s="1">
        <v>2</v>
      </c>
      <c r="H156" s="1">
        <v>17209.86</v>
      </c>
      <c r="I156" s="1">
        <v>0.1</v>
      </c>
      <c r="J156" s="1">
        <v>3675.46</v>
      </c>
      <c r="K156" s="1" t="s">
        <v>10</v>
      </c>
    </row>
    <row r="157" spans="1:11" ht="15" customHeight="1" x14ac:dyDescent="0.25">
      <c r="A157" s="1">
        <v>10156</v>
      </c>
      <c r="B157" s="2">
        <v>45958</v>
      </c>
      <c r="C157" s="1" t="s">
        <v>25</v>
      </c>
      <c r="D157" s="1" t="s">
        <v>38</v>
      </c>
      <c r="E157" s="1" t="s">
        <v>10</v>
      </c>
      <c r="F157" s="1" t="s">
        <v>12</v>
      </c>
      <c r="G157" s="1">
        <v>1</v>
      </c>
      <c r="H157" s="1">
        <v>49897.02</v>
      </c>
      <c r="I157" s="1">
        <v>0.15</v>
      </c>
      <c r="J157" s="1">
        <v>9393.6</v>
      </c>
      <c r="K157" s="1" t="s">
        <v>10</v>
      </c>
    </row>
    <row r="158" spans="1:11" ht="15" customHeight="1" x14ac:dyDescent="0.25">
      <c r="A158" s="1">
        <v>10157</v>
      </c>
      <c r="B158" s="2">
        <v>45730</v>
      </c>
      <c r="C158" s="1" t="s">
        <v>17</v>
      </c>
      <c r="D158" s="1" t="s">
        <v>33</v>
      </c>
      <c r="E158" s="1" t="s">
        <v>8</v>
      </c>
      <c r="F158" s="1" t="s">
        <v>12</v>
      </c>
      <c r="G158" s="1">
        <v>5</v>
      </c>
      <c r="H158" s="1">
        <v>55771.28</v>
      </c>
      <c r="I158" s="1">
        <v>0.2</v>
      </c>
      <c r="J158" s="1">
        <v>9202.01</v>
      </c>
      <c r="K158" s="1" t="s">
        <v>8</v>
      </c>
    </row>
    <row r="159" spans="1:11" ht="15" customHeight="1" x14ac:dyDescent="0.25">
      <c r="A159" s="1">
        <v>10158</v>
      </c>
      <c r="B159" s="2">
        <v>45939</v>
      </c>
      <c r="C159" s="1" t="s">
        <v>17</v>
      </c>
      <c r="D159" s="1" t="s">
        <v>38</v>
      </c>
      <c r="E159" s="1" t="s">
        <v>10</v>
      </c>
      <c r="F159" s="1" t="s">
        <v>11</v>
      </c>
      <c r="G159" s="1">
        <v>4</v>
      </c>
      <c r="H159" s="1">
        <v>63707.69</v>
      </c>
      <c r="I159" s="1">
        <v>0.25</v>
      </c>
      <c r="J159" s="1">
        <v>8315.2900000000009</v>
      </c>
      <c r="K159" s="1" t="s">
        <v>10</v>
      </c>
    </row>
    <row r="160" spans="1:11" ht="15" customHeight="1" x14ac:dyDescent="0.25">
      <c r="A160" s="1">
        <v>10159</v>
      </c>
      <c r="B160" s="2">
        <v>45906</v>
      </c>
      <c r="C160" s="1" t="s">
        <v>19</v>
      </c>
      <c r="D160" s="1" t="s">
        <v>40</v>
      </c>
      <c r="E160" s="1" t="s">
        <v>10</v>
      </c>
      <c r="F160" s="1" t="s">
        <v>12</v>
      </c>
      <c r="G160" s="1">
        <v>6</v>
      </c>
      <c r="H160" s="1">
        <v>31985.88</v>
      </c>
      <c r="I160" s="1">
        <v>0.05</v>
      </c>
      <c r="J160" s="1">
        <v>11589.39</v>
      </c>
      <c r="K160" s="1" t="s">
        <v>10</v>
      </c>
    </row>
    <row r="161" spans="1:11" ht="15" customHeight="1" x14ac:dyDescent="0.25">
      <c r="A161" s="1">
        <v>10160</v>
      </c>
      <c r="B161" s="2">
        <v>45704</v>
      </c>
      <c r="C161" s="1" t="s">
        <v>18</v>
      </c>
      <c r="D161" s="1" t="s">
        <v>34</v>
      </c>
      <c r="E161" s="1" t="s">
        <v>10</v>
      </c>
      <c r="F161" s="1" t="s">
        <v>11</v>
      </c>
      <c r="G161" s="1">
        <v>2</v>
      </c>
      <c r="H161" s="1">
        <v>23068.35</v>
      </c>
      <c r="I161" s="1">
        <v>0.25</v>
      </c>
      <c r="J161" s="1">
        <v>4752.99</v>
      </c>
      <c r="K161" s="1" t="s">
        <v>10</v>
      </c>
    </row>
    <row r="162" spans="1:11" ht="15" customHeight="1" x14ac:dyDescent="0.25">
      <c r="A162" s="1">
        <v>10161</v>
      </c>
      <c r="B162" s="2">
        <v>45778</v>
      </c>
      <c r="C162" s="1" t="s">
        <v>17</v>
      </c>
      <c r="D162" s="1" t="s">
        <v>33</v>
      </c>
      <c r="E162" s="1" t="s">
        <v>8</v>
      </c>
      <c r="F162" s="1" t="s">
        <v>11</v>
      </c>
      <c r="G162" s="1">
        <v>3</v>
      </c>
      <c r="H162" s="1">
        <v>24734.49</v>
      </c>
      <c r="I162" s="1">
        <v>0.2</v>
      </c>
      <c r="J162" s="1">
        <v>1612.07</v>
      </c>
      <c r="K162" s="1" t="s">
        <v>8</v>
      </c>
    </row>
    <row r="163" spans="1:11" ht="15" customHeight="1" x14ac:dyDescent="0.25">
      <c r="A163" s="1">
        <v>10162</v>
      </c>
      <c r="B163" s="2">
        <v>45871</v>
      </c>
      <c r="C163" s="1" t="s">
        <v>23</v>
      </c>
      <c r="D163" s="1" t="s">
        <v>40</v>
      </c>
      <c r="E163" s="1" t="s">
        <v>10</v>
      </c>
      <c r="F163" s="1" t="s">
        <v>11</v>
      </c>
      <c r="G163" s="1">
        <v>3</v>
      </c>
      <c r="H163" s="1">
        <v>53590.29</v>
      </c>
      <c r="I163" s="1">
        <v>0.25</v>
      </c>
      <c r="J163" s="1">
        <v>8076.92</v>
      </c>
      <c r="K163" s="1" t="s">
        <v>10</v>
      </c>
    </row>
    <row r="164" spans="1:11" ht="15" customHeight="1" x14ac:dyDescent="0.25">
      <c r="A164" s="1">
        <v>10163</v>
      </c>
      <c r="B164" s="2">
        <v>45896</v>
      </c>
      <c r="C164" s="1" t="s">
        <v>21</v>
      </c>
      <c r="D164" s="1" t="s">
        <v>37</v>
      </c>
      <c r="E164" s="1" t="s">
        <v>8</v>
      </c>
      <c r="F164" s="1" t="s">
        <v>13</v>
      </c>
      <c r="G164" s="1">
        <v>4</v>
      </c>
      <c r="H164" s="1">
        <v>61350.07</v>
      </c>
      <c r="I164" s="1">
        <v>0.15</v>
      </c>
      <c r="J164" s="1">
        <v>8765.25</v>
      </c>
      <c r="K164" s="1" t="s">
        <v>8</v>
      </c>
    </row>
    <row r="165" spans="1:11" ht="15" customHeight="1" x14ac:dyDescent="0.25">
      <c r="A165" s="1">
        <v>10164</v>
      </c>
      <c r="B165" s="2">
        <v>45713</v>
      </c>
      <c r="C165" s="1" t="s">
        <v>18</v>
      </c>
      <c r="D165" s="1" t="s">
        <v>34</v>
      </c>
      <c r="E165" s="1" t="s">
        <v>10</v>
      </c>
      <c r="F165" s="1" t="s">
        <v>11</v>
      </c>
      <c r="G165" s="1">
        <v>2</v>
      </c>
      <c r="H165" s="1">
        <v>14030.24</v>
      </c>
      <c r="I165" s="1">
        <v>0.1</v>
      </c>
      <c r="J165" s="1">
        <v>6921.97</v>
      </c>
      <c r="K165" s="1" t="s">
        <v>10</v>
      </c>
    </row>
    <row r="166" spans="1:11" ht="15" customHeight="1" x14ac:dyDescent="0.25">
      <c r="A166" s="1">
        <v>10165</v>
      </c>
      <c r="B166" s="2">
        <v>46007</v>
      </c>
      <c r="C166" s="1" t="s">
        <v>21</v>
      </c>
      <c r="D166" s="1" t="s">
        <v>38</v>
      </c>
      <c r="E166" s="1" t="s">
        <v>10</v>
      </c>
      <c r="F166" s="1" t="s">
        <v>13</v>
      </c>
      <c r="G166" s="1">
        <v>1</v>
      </c>
      <c r="H166" s="1">
        <v>28135.11</v>
      </c>
      <c r="I166" s="1">
        <v>0.15</v>
      </c>
      <c r="J166" s="1">
        <v>2521.4699999999998</v>
      </c>
      <c r="K166" s="1" t="s">
        <v>10</v>
      </c>
    </row>
    <row r="167" spans="1:11" ht="15" customHeight="1" x14ac:dyDescent="0.25">
      <c r="A167" s="1">
        <v>10166</v>
      </c>
      <c r="B167" s="2">
        <v>45764</v>
      </c>
      <c r="C167" s="1" t="s">
        <v>23</v>
      </c>
      <c r="D167" s="1" t="s">
        <v>40</v>
      </c>
      <c r="E167" s="1" t="s">
        <v>10</v>
      </c>
      <c r="F167" s="1" t="s">
        <v>11</v>
      </c>
      <c r="G167" s="1">
        <v>1</v>
      </c>
      <c r="H167" s="1">
        <v>67694.539999999994</v>
      </c>
      <c r="I167" s="1">
        <v>0.25</v>
      </c>
      <c r="J167" s="1">
        <v>6078.25</v>
      </c>
      <c r="K167" s="1" t="s">
        <v>10</v>
      </c>
    </row>
    <row r="168" spans="1:11" ht="15" customHeight="1" x14ac:dyDescent="0.25">
      <c r="A168" s="1">
        <v>10167</v>
      </c>
      <c r="B168" s="2">
        <v>45976</v>
      </c>
      <c r="C168" s="1" t="s">
        <v>17</v>
      </c>
      <c r="D168" s="1" t="s">
        <v>37</v>
      </c>
      <c r="E168" s="1" t="s">
        <v>8</v>
      </c>
      <c r="F168" s="1" t="s">
        <v>11</v>
      </c>
      <c r="G168" s="1">
        <v>5</v>
      </c>
      <c r="H168" s="1">
        <v>60598.67</v>
      </c>
      <c r="I168" s="1">
        <v>0.15</v>
      </c>
      <c r="J168" s="1">
        <v>3780.67</v>
      </c>
      <c r="K168" s="1" t="s">
        <v>8</v>
      </c>
    </row>
    <row r="169" spans="1:11" ht="15" customHeight="1" x14ac:dyDescent="0.25">
      <c r="A169" s="1">
        <v>10168</v>
      </c>
      <c r="B169" s="2">
        <v>45705</v>
      </c>
      <c r="C169" s="1" t="s">
        <v>17</v>
      </c>
      <c r="D169" s="1" t="s">
        <v>33</v>
      </c>
      <c r="E169" s="1" t="s">
        <v>8</v>
      </c>
      <c r="F169" s="1" t="s">
        <v>11</v>
      </c>
      <c r="G169" s="1">
        <v>5</v>
      </c>
      <c r="H169" s="1">
        <v>73871.95</v>
      </c>
      <c r="I169" s="1">
        <v>0.2</v>
      </c>
      <c r="J169" s="1">
        <v>5158.2299999999996</v>
      </c>
      <c r="K169" s="1" t="s">
        <v>8</v>
      </c>
    </row>
    <row r="170" spans="1:11" ht="15" customHeight="1" x14ac:dyDescent="0.25">
      <c r="A170" s="1">
        <v>10169</v>
      </c>
      <c r="B170" s="2">
        <v>45718</v>
      </c>
      <c r="C170" s="1" t="s">
        <v>19</v>
      </c>
      <c r="D170" s="1" t="s">
        <v>33</v>
      </c>
      <c r="E170" s="1" t="s">
        <v>8</v>
      </c>
      <c r="F170" s="1" t="s">
        <v>12</v>
      </c>
      <c r="G170" s="1">
        <v>1</v>
      </c>
      <c r="H170" s="1">
        <v>56691.5</v>
      </c>
      <c r="I170" s="1">
        <v>0.05</v>
      </c>
      <c r="J170" s="1">
        <v>7760.36</v>
      </c>
      <c r="K170" s="1" t="s">
        <v>8</v>
      </c>
    </row>
    <row r="171" spans="1:11" ht="15" customHeight="1" x14ac:dyDescent="0.25">
      <c r="A171" s="1">
        <v>10170</v>
      </c>
      <c r="B171" s="2">
        <v>45994</v>
      </c>
      <c r="C171" s="1" t="s">
        <v>17</v>
      </c>
      <c r="D171" s="1" t="s">
        <v>39</v>
      </c>
      <c r="E171" s="1" t="s">
        <v>10</v>
      </c>
      <c r="F171" s="1" t="s">
        <v>13</v>
      </c>
      <c r="G171" s="1">
        <v>3</v>
      </c>
      <c r="H171" s="1">
        <v>29793.040000000001</v>
      </c>
      <c r="I171" s="1">
        <v>0.15</v>
      </c>
      <c r="J171" s="1">
        <v>8955.32</v>
      </c>
      <c r="K171" s="1" t="s">
        <v>10</v>
      </c>
    </row>
    <row r="172" spans="1:11" ht="15" customHeight="1" x14ac:dyDescent="0.25">
      <c r="A172" s="1">
        <v>10171</v>
      </c>
      <c r="B172" s="2">
        <v>45683</v>
      </c>
      <c r="C172" s="1" t="s">
        <v>18</v>
      </c>
      <c r="D172" s="1" t="s">
        <v>37</v>
      </c>
      <c r="E172" s="1" t="s">
        <v>8</v>
      </c>
      <c r="F172" s="1" t="s">
        <v>13</v>
      </c>
      <c r="G172" s="1">
        <v>6</v>
      </c>
      <c r="H172" s="1">
        <v>44502.52</v>
      </c>
      <c r="I172" s="1">
        <v>0.2</v>
      </c>
      <c r="J172" s="1">
        <v>2825.09</v>
      </c>
      <c r="K172" s="1" t="s">
        <v>8</v>
      </c>
    </row>
    <row r="173" spans="1:11" ht="15" customHeight="1" x14ac:dyDescent="0.25">
      <c r="A173" s="1">
        <v>10172</v>
      </c>
      <c r="B173" s="2">
        <v>45949</v>
      </c>
      <c r="C173" s="1" t="s">
        <v>23</v>
      </c>
      <c r="D173" s="1" t="s">
        <v>35</v>
      </c>
      <c r="E173" s="1" t="s">
        <v>10</v>
      </c>
      <c r="F173" s="1" t="s">
        <v>11</v>
      </c>
      <c r="G173" s="1">
        <v>3</v>
      </c>
      <c r="H173" s="1">
        <v>49745.56</v>
      </c>
      <c r="I173" s="1">
        <v>0.05</v>
      </c>
      <c r="J173" s="1">
        <v>4893.6400000000003</v>
      </c>
      <c r="K173" s="1" t="s">
        <v>10</v>
      </c>
    </row>
    <row r="174" spans="1:11" ht="15" customHeight="1" x14ac:dyDescent="0.25">
      <c r="A174" s="1">
        <v>10173</v>
      </c>
      <c r="B174" s="2">
        <v>45914</v>
      </c>
      <c r="C174" s="1" t="s">
        <v>22</v>
      </c>
      <c r="D174" s="1" t="s">
        <v>36</v>
      </c>
      <c r="E174" s="1" t="s">
        <v>10</v>
      </c>
      <c r="F174" s="1" t="s">
        <v>11</v>
      </c>
      <c r="G174" s="1">
        <v>5</v>
      </c>
      <c r="H174" s="1">
        <v>6344.96</v>
      </c>
      <c r="I174" s="1">
        <v>0.1</v>
      </c>
      <c r="J174" s="1">
        <v>3266.48</v>
      </c>
      <c r="K174" s="1" t="s">
        <v>10</v>
      </c>
    </row>
    <row r="175" spans="1:11" ht="15" customHeight="1" x14ac:dyDescent="0.25">
      <c r="A175" s="1">
        <v>10174</v>
      </c>
      <c r="B175" s="2">
        <v>45665</v>
      </c>
      <c r="C175" s="1" t="s">
        <v>23</v>
      </c>
      <c r="D175" s="1" t="s">
        <v>34</v>
      </c>
      <c r="E175" s="1" t="s">
        <v>10</v>
      </c>
      <c r="F175" s="1" t="s">
        <v>12</v>
      </c>
      <c r="G175" s="1">
        <v>4</v>
      </c>
      <c r="H175" s="1">
        <v>41065.019999999997</v>
      </c>
      <c r="I175" s="1">
        <v>0.25</v>
      </c>
      <c r="J175" s="1">
        <v>2423.65</v>
      </c>
      <c r="K175" s="1" t="s">
        <v>10</v>
      </c>
    </row>
    <row r="176" spans="1:11" ht="15" customHeight="1" x14ac:dyDescent="0.25">
      <c r="A176" s="1">
        <v>10175</v>
      </c>
      <c r="B176" s="2">
        <v>45770</v>
      </c>
      <c r="C176" s="1" t="s">
        <v>18</v>
      </c>
      <c r="D176" s="1" t="s">
        <v>37</v>
      </c>
      <c r="E176" s="1" t="s">
        <v>8</v>
      </c>
      <c r="F176" s="1" t="s">
        <v>12</v>
      </c>
      <c r="G176" s="1">
        <v>1</v>
      </c>
      <c r="H176" s="1">
        <v>53344.4</v>
      </c>
      <c r="I176" s="1">
        <v>0.1</v>
      </c>
      <c r="J176" s="1">
        <v>9411.48</v>
      </c>
      <c r="K176" s="1" t="s">
        <v>8</v>
      </c>
    </row>
    <row r="177" spans="1:11" ht="15" customHeight="1" x14ac:dyDescent="0.25">
      <c r="A177" s="1">
        <v>10176</v>
      </c>
      <c r="B177" s="2">
        <v>46012</v>
      </c>
      <c r="C177" s="1" t="s">
        <v>18</v>
      </c>
      <c r="D177" s="1" t="s">
        <v>39</v>
      </c>
      <c r="E177" s="1" t="s">
        <v>10</v>
      </c>
      <c r="F177" s="1" t="s">
        <v>12</v>
      </c>
      <c r="G177" s="1">
        <v>5</v>
      </c>
      <c r="H177" s="1">
        <v>12965.44</v>
      </c>
      <c r="I177" s="1">
        <v>0</v>
      </c>
      <c r="J177" s="1">
        <v>10915.57</v>
      </c>
      <c r="K177" s="1" t="s">
        <v>10</v>
      </c>
    </row>
    <row r="178" spans="1:11" ht="15" customHeight="1" x14ac:dyDescent="0.25">
      <c r="A178" s="1">
        <v>10177</v>
      </c>
      <c r="B178" s="2">
        <v>45910</v>
      </c>
      <c r="C178" s="1" t="s">
        <v>19</v>
      </c>
      <c r="D178" s="1" t="s">
        <v>36</v>
      </c>
      <c r="E178" s="1" t="s">
        <v>10</v>
      </c>
      <c r="F178" s="1" t="s">
        <v>13</v>
      </c>
      <c r="G178" s="1">
        <v>5</v>
      </c>
      <c r="H178" s="1">
        <v>58657.06</v>
      </c>
      <c r="I178" s="1">
        <v>0.2</v>
      </c>
      <c r="J178" s="1">
        <v>4474.2700000000004</v>
      </c>
      <c r="K178" s="1" t="s">
        <v>10</v>
      </c>
    </row>
    <row r="179" spans="1:11" ht="15" customHeight="1" x14ac:dyDescent="0.25">
      <c r="A179" s="1">
        <v>10178</v>
      </c>
      <c r="B179" s="2">
        <v>45837</v>
      </c>
      <c r="C179" s="1" t="s">
        <v>19</v>
      </c>
      <c r="D179" s="1" t="s">
        <v>36</v>
      </c>
      <c r="E179" s="1" t="s">
        <v>10</v>
      </c>
      <c r="F179" s="1" t="s">
        <v>13</v>
      </c>
      <c r="G179" s="1">
        <v>6</v>
      </c>
      <c r="H179" s="1">
        <v>43991.07</v>
      </c>
      <c r="I179" s="1">
        <v>0.05</v>
      </c>
      <c r="J179" s="1">
        <v>9027.7800000000007</v>
      </c>
      <c r="K179" s="1" t="s">
        <v>10</v>
      </c>
    </row>
    <row r="180" spans="1:11" ht="15" customHeight="1" x14ac:dyDescent="0.25">
      <c r="A180" s="1">
        <v>10179</v>
      </c>
      <c r="B180" s="2">
        <v>45864</v>
      </c>
      <c r="C180" s="1" t="s">
        <v>17</v>
      </c>
      <c r="D180" s="1" t="s">
        <v>40</v>
      </c>
      <c r="E180" s="1" t="s">
        <v>10</v>
      </c>
      <c r="F180" s="1" t="s">
        <v>13</v>
      </c>
      <c r="G180" s="1">
        <v>1</v>
      </c>
      <c r="H180" s="1">
        <v>71440.52</v>
      </c>
      <c r="I180" s="1">
        <v>0.15</v>
      </c>
      <c r="J180" s="1">
        <v>10769.09</v>
      </c>
      <c r="K180" s="1" t="s">
        <v>10</v>
      </c>
    </row>
    <row r="181" spans="1:11" ht="15" customHeight="1" x14ac:dyDescent="0.25">
      <c r="A181" s="1">
        <v>10180</v>
      </c>
      <c r="B181" s="2">
        <v>45960</v>
      </c>
      <c r="C181" s="1" t="s">
        <v>20</v>
      </c>
      <c r="D181" s="1" t="s">
        <v>36</v>
      </c>
      <c r="E181" s="1" t="s">
        <v>10</v>
      </c>
      <c r="F181" s="1" t="s">
        <v>11</v>
      </c>
      <c r="G181" s="1">
        <v>6</v>
      </c>
      <c r="H181" s="1">
        <v>3660.46</v>
      </c>
      <c r="I181" s="1">
        <v>0.1</v>
      </c>
      <c r="J181" s="1">
        <v>10161.18</v>
      </c>
      <c r="K181" s="1" t="s">
        <v>10</v>
      </c>
    </row>
    <row r="182" spans="1:11" ht="15" customHeight="1" x14ac:dyDescent="0.25">
      <c r="A182" s="1">
        <v>10181</v>
      </c>
      <c r="B182" s="2">
        <v>45784</v>
      </c>
      <c r="C182" s="1" t="s">
        <v>23</v>
      </c>
      <c r="D182" s="1" t="s">
        <v>35</v>
      </c>
      <c r="E182" s="1" t="s">
        <v>10</v>
      </c>
      <c r="F182" s="1" t="s">
        <v>13</v>
      </c>
      <c r="G182" s="1">
        <v>1</v>
      </c>
      <c r="H182" s="1">
        <v>20266.8</v>
      </c>
      <c r="I182" s="1">
        <v>0.05</v>
      </c>
      <c r="J182" s="1">
        <v>2234.62</v>
      </c>
      <c r="K182" s="1" t="s">
        <v>10</v>
      </c>
    </row>
    <row r="183" spans="1:11" ht="15" customHeight="1" x14ac:dyDescent="0.25">
      <c r="A183" s="1">
        <v>10182</v>
      </c>
      <c r="B183" s="2">
        <v>45713</v>
      </c>
      <c r="C183" s="1" t="s">
        <v>23</v>
      </c>
      <c r="D183" s="1" t="s">
        <v>33</v>
      </c>
      <c r="E183" s="1" t="s">
        <v>8</v>
      </c>
      <c r="F183" s="1" t="s">
        <v>9</v>
      </c>
      <c r="G183" s="1">
        <v>6</v>
      </c>
      <c r="H183" s="1">
        <v>45315.76</v>
      </c>
      <c r="I183" s="1">
        <v>0.2</v>
      </c>
      <c r="J183" s="1">
        <v>11477.69</v>
      </c>
      <c r="K183" s="1" t="s">
        <v>8</v>
      </c>
    </row>
    <row r="184" spans="1:11" ht="15" customHeight="1" x14ac:dyDescent="0.25">
      <c r="A184" s="1">
        <v>10183</v>
      </c>
      <c r="B184" s="2">
        <v>45871</v>
      </c>
      <c r="C184" s="1" t="s">
        <v>20</v>
      </c>
      <c r="D184" s="1" t="s">
        <v>39</v>
      </c>
      <c r="E184" s="1" t="s">
        <v>10</v>
      </c>
      <c r="F184" s="1" t="s">
        <v>9</v>
      </c>
      <c r="G184" s="1">
        <v>3</v>
      </c>
      <c r="H184" s="1">
        <v>22593.71</v>
      </c>
      <c r="I184" s="1">
        <v>0</v>
      </c>
      <c r="J184" s="1">
        <v>4551.28</v>
      </c>
      <c r="K184" s="1" t="s">
        <v>10</v>
      </c>
    </row>
    <row r="185" spans="1:11" ht="15" customHeight="1" x14ac:dyDescent="0.25">
      <c r="A185" s="1">
        <v>10184</v>
      </c>
      <c r="B185" s="2">
        <v>45671</v>
      </c>
      <c r="C185" s="1" t="s">
        <v>19</v>
      </c>
      <c r="D185" s="1" t="s">
        <v>36</v>
      </c>
      <c r="E185" s="1" t="s">
        <v>10</v>
      </c>
      <c r="F185" s="1" t="s">
        <v>12</v>
      </c>
      <c r="G185" s="1">
        <v>4</v>
      </c>
      <c r="H185" s="1">
        <v>53724.6</v>
      </c>
      <c r="I185" s="1">
        <v>0.1</v>
      </c>
      <c r="J185" s="1">
        <v>4103.93</v>
      </c>
      <c r="K185" s="1" t="s">
        <v>10</v>
      </c>
    </row>
    <row r="186" spans="1:11" ht="15" customHeight="1" x14ac:dyDescent="0.25">
      <c r="A186" s="1">
        <v>10185</v>
      </c>
      <c r="B186" s="2">
        <v>45685</v>
      </c>
      <c r="C186" s="1" t="s">
        <v>17</v>
      </c>
      <c r="D186" s="1" t="s">
        <v>40</v>
      </c>
      <c r="E186" s="1" t="s">
        <v>10</v>
      </c>
      <c r="F186" s="1" t="s">
        <v>13</v>
      </c>
      <c r="G186" s="1">
        <v>4</v>
      </c>
      <c r="H186" s="1">
        <v>57045.89</v>
      </c>
      <c r="I186" s="1">
        <v>0.25</v>
      </c>
      <c r="J186" s="1">
        <v>796.05</v>
      </c>
      <c r="K186" s="1" t="s">
        <v>10</v>
      </c>
    </row>
    <row r="187" spans="1:11" ht="15" customHeight="1" x14ac:dyDescent="0.25">
      <c r="A187" s="1">
        <v>10186</v>
      </c>
      <c r="B187" s="2">
        <v>45735</v>
      </c>
      <c r="C187" s="1" t="s">
        <v>20</v>
      </c>
      <c r="D187" s="1" t="s">
        <v>35</v>
      </c>
      <c r="E187" s="1" t="s">
        <v>10</v>
      </c>
      <c r="F187" s="1" t="s">
        <v>9</v>
      </c>
      <c r="G187" s="1">
        <v>1</v>
      </c>
      <c r="H187" s="1">
        <v>8137.44</v>
      </c>
      <c r="I187" s="1">
        <v>0.05</v>
      </c>
      <c r="J187" s="1">
        <v>5859.78</v>
      </c>
      <c r="K187" s="1" t="s">
        <v>10</v>
      </c>
    </row>
    <row r="188" spans="1:11" ht="15" customHeight="1" x14ac:dyDescent="0.25">
      <c r="A188" s="1">
        <v>10187</v>
      </c>
      <c r="B188" s="2">
        <v>45873</v>
      </c>
      <c r="C188" s="1" t="s">
        <v>17</v>
      </c>
      <c r="D188" s="1" t="s">
        <v>38</v>
      </c>
      <c r="E188" s="1" t="s">
        <v>10</v>
      </c>
      <c r="F188" s="1" t="s">
        <v>12</v>
      </c>
      <c r="G188" s="1">
        <v>2</v>
      </c>
      <c r="H188" s="1">
        <v>38782.160000000003</v>
      </c>
      <c r="I188" s="1">
        <v>0.25</v>
      </c>
      <c r="J188" s="1">
        <v>1352.71</v>
      </c>
      <c r="K188" s="1" t="s">
        <v>10</v>
      </c>
    </row>
    <row r="189" spans="1:11" ht="15" customHeight="1" x14ac:dyDescent="0.25">
      <c r="A189" s="1">
        <v>10188</v>
      </c>
      <c r="B189" s="2">
        <v>46022</v>
      </c>
      <c r="C189" s="1" t="s">
        <v>17</v>
      </c>
      <c r="D189" s="1" t="s">
        <v>33</v>
      </c>
      <c r="E189" s="1" t="s">
        <v>8</v>
      </c>
      <c r="F189" s="1" t="s">
        <v>13</v>
      </c>
      <c r="G189" s="1">
        <v>7</v>
      </c>
      <c r="H189" s="1">
        <v>38412.35</v>
      </c>
      <c r="I189" s="1">
        <v>0.05</v>
      </c>
      <c r="J189" s="1">
        <v>3020.05</v>
      </c>
      <c r="K189" s="1" t="s">
        <v>8</v>
      </c>
    </row>
    <row r="190" spans="1:11" ht="15" customHeight="1" x14ac:dyDescent="0.25">
      <c r="A190" s="1">
        <v>10189</v>
      </c>
      <c r="B190" s="2">
        <v>45811</v>
      </c>
      <c r="C190" s="1" t="s">
        <v>17</v>
      </c>
      <c r="D190" s="1" t="s">
        <v>33</v>
      </c>
      <c r="E190" s="1" t="s">
        <v>8</v>
      </c>
      <c r="F190" s="1" t="s">
        <v>11</v>
      </c>
      <c r="G190" s="1">
        <v>5</v>
      </c>
      <c r="H190" s="1">
        <v>28011.42</v>
      </c>
      <c r="I190" s="1">
        <v>0.05</v>
      </c>
      <c r="J190" s="1">
        <v>3837.46</v>
      </c>
      <c r="K190" s="1" t="s">
        <v>8</v>
      </c>
    </row>
    <row r="191" spans="1:11" ht="15" customHeight="1" x14ac:dyDescent="0.25">
      <c r="A191" s="1">
        <v>10190</v>
      </c>
      <c r="B191" s="2">
        <v>45671</v>
      </c>
      <c r="C191" s="1" t="s">
        <v>25</v>
      </c>
      <c r="D191" s="1" t="s">
        <v>39</v>
      </c>
      <c r="E191" s="1" t="s">
        <v>10</v>
      </c>
      <c r="F191" s="1" t="s">
        <v>9</v>
      </c>
      <c r="G191" s="1">
        <v>5</v>
      </c>
      <c r="H191" s="1">
        <v>70002.899999999994</v>
      </c>
      <c r="I191" s="1">
        <v>0.2</v>
      </c>
      <c r="J191" s="1">
        <v>9715.4699999999993</v>
      </c>
      <c r="K191" s="1" t="s">
        <v>10</v>
      </c>
    </row>
    <row r="192" spans="1:11" ht="15" customHeight="1" x14ac:dyDescent="0.25">
      <c r="A192" s="1">
        <v>10191</v>
      </c>
      <c r="B192" s="2">
        <v>45844</v>
      </c>
      <c r="C192" s="1" t="s">
        <v>18</v>
      </c>
      <c r="D192" s="1" t="s">
        <v>33</v>
      </c>
      <c r="E192" s="1" t="s">
        <v>8</v>
      </c>
      <c r="F192" s="1" t="s">
        <v>11</v>
      </c>
      <c r="G192" s="1">
        <v>1</v>
      </c>
      <c r="H192" s="1">
        <v>62149.22</v>
      </c>
      <c r="I192" s="1">
        <v>0.2</v>
      </c>
      <c r="J192" s="1">
        <v>10512.09</v>
      </c>
      <c r="K192" s="1" t="s">
        <v>8</v>
      </c>
    </row>
    <row r="193" spans="1:11" ht="15" customHeight="1" x14ac:dyDescent="0.25">
      <c r="A193" s="1">
        <v>10192</v>
      </c>
      <c r="B193" s="2">
        <v>45969</v>
      </c>
      <c r="C193" s="1" t="s">
        <v>17</v>
      </c>
      <c r="D193" s="1" t="s">
        <v>36</v>
      </c>
      <c r="E193" s="1" t="s">
        <v>10</v>
      </c>
      <c r="F193" s="1" t="s">
        <v>13</v>
      </c>
      <c r="G193" s="1">
        <v>6</v>
      </c>
      <c r="H193" s="1">
        <v>52442.1</v>
      </c>
      <c r="I193" s="1">
        <v>0.2</v>
      </c>
      <c r="J193" s="1">
        <v>3664.47</v>
      </c>
      <c r="K193" s="1" t="s">
        <v>10</v>
      </c>
    </row>
    <row r="194" spans="1:11" ht="15" customHeight="1" x14ac:dyDescent="0.25">
      <c r="A194" s="1">
        <v>10193</v>
      </c>
      <c r="B194" s="2">
        <v>45664</v>
      </c>
      <c r="C194" s="1" t="s">
        <v>25</v>
      </c>
      <c r="D194" s="1" t="s">
        <v>40</v>
      </c>
      <c r="E194" s="1" t="s">
        <v>10</v>
      </c>
      <c r="F194" s="1" t="s">
        <v>9</v>
      </c>
      <c r="G194" s="1">
        <v>2</v>
      </c>
      <c r="H194" s="1">
        <v>53717.33</v>
      </c>
      <c r="I194" s="1">
        <v>0.15</v>
      </c>
      <c r="J194" s="1">
        <v>10311.44</v>
      </c>
      <c r="K194" s="1" t="s">
        <v>10</v>
      </c>
    </row>
    <row r="195" spans="1:11" ht="15" customHeight="1" x14ac:dyDescent="0.25">
      <c r="A195" s="1">
        <v>10194</v>
      </c>
      <c r="B195" s="2">
        <v>45660</v>
      </c>
      <c r="C195" s="1" t="s">
        <v>19</v>
      </c>
      <c r="D195" s="1" t="s">
        <v>33</v>
      </c>
      <c r="E195" s="1" t="s">
        <v>8</v>
      </c>
      <c r="F195" s="1" t="s">
        <v>13</v>
      </c>
      <c r="G195" s="1">
        <v>3</v>
      </c>
      <c r="H195" s="1">
        <v>34897.85</v>
      </c>
      <c r="I195" s="1">
        <v>0.05</v>
      </c>
      <c r="J195" s="1">
        <v>10293.91</v>
      </c>
      <c r="K195" s="1" t="s">
        <v>8</v>
      </c>
    </row>
    <row r="196" spans="1:11" ht="15" customHeight="1" x14ac:dyDescent="0.25">
      <c r="A196" s="1">
        <v>10195</v>
      </c>
      <c r="B196" s="2">
        <v>45768</v>
      </c>
      <c r="C196" s="1" t="s">
        <v>20</v>
      </c>
      <c r="D196" s="1" t="s">
        <v>33</v>
      </c>
      <c r="E196" s="1" t="s">
        <v>8</v>
      </c>
      <c r="F196" s="1" t="s">
        <v>11</v>
      </c>
      <c r="G196" s="1">
        <v>6</v>
      </c>
      <c r="H196" s="1">
        <v>69114.09</v>
      </c>
      <c r="I196" s="1">
        <v>0.1</v>
      </c>
      <c r="J196" s="1">
        <v>9187.58</v>
      </c>
      <c r="K196" s="1" t="s">
        <v>8</v>
      </c>
    </row>
    <row r="197" spans="1:11" ht="15" customHeight="1" x14ac:dyDescent="0.25">
      <c r="A197" s="1">
        <v>10196</v>
      </c>
      <c r="B197" s="2">
        <v>45895</v>
      </c>
      <c r="C197" s="1" t="s">
        <v>18</v>
      </c>
      <c r="D197" s="1" t="s">
        <v>38</v>
      </c>
      <c r="E197" s="1" t="s">
        <v>10</v>
      </c>
      <c r="F197" s="1" t="s">
        <v>9</v>
      </c>
      <c r="G197" s="1">
        <v>6</v>
      </c>
      <c r="H197" s="1">
        <v>52247.360000000001</v>
      </c>
      <c r="I197" s="1">
        <v>0.25</v>
      </c>
      <c r="J197" s="1">
        <v>1803.01</v>
      </c>
      <c r="K197" s="1" t="s">
        <v>10</v>
      </c>
    </row>
    <row r="198" spans="1:11" ht="15" customHeight="1" x14ac:dyDescent="0.25">
      <c r="A198" s="1">
        <v>10197</v>
      </c>
      <c r="B198" s="2">
        <v>46020</v>
      </c>
      <c r="C198" s="1" t="s">
        <v>22</v>
      </c>
      <c r="D198" s="1" t="s">
        <v>38</v>
      </c>
      <c r="E198" s="1" t="s">
        <v>10</v>
      </c>
      <c r="F198" s="1" t="s">
        <v>11</v>
      </c>
      <c r="G198" s="1">
        <v>1</v>
      </c>
      <c r="H198" s="1">
        <v>54809.09</v>
      </c>
      <c r="I198" s="1">
        <v>0.2</v>
      </c>
      <c r="J198" s="1">
        <v>8299.36</v>
      </c>
      <c r="K198" s="1" t="s">
        <v>10</v>
      </c>
    </row>
    <row r="199" spans="1:11" ht="15" customHeight="1" x14ac:dyDescent="0.25">
      <c r="A199" s="1">
        <v>10198</v>
      </c>
      <c r="B199" s="2">
        <v>45896</v>
      </c>
      <c r="C199" s="1" t="s">
        <v>20</v>
      </c>
      <c r="D199" s="1" t="s">
        <v>34</v>
      </c>
      <c r="E199" s="1" t="s">
        <v>10</v>
      </c>
      <c r="F199" s="1" t="s">
        <v>13</v>
      </c>
      <c r="G199" s="1">
        <v>1</v>
      </c>
      <c r="H199" s="1">
        <v>64695.97</v>
      </c>
      <c r="I199" s="1">
        <v>0.2</v>
      </c>
      <c r="J199" s="1">
        <v>11343.04</v>
      </c>
      <c r="K199" s="1" t="s">
        <v>10</v>
      </c>
    </row>
    <row r="200" spans="1:11" ht="15" customHeight="1" x14ac:dyDescent="0.25">
      <c r="A200" s="1">
        <v>10199</v>
      </c>
      <c r="B200" s="2">
        <v>45931</v>
      </c>
      <c r="C200" s="1" t="s">
        <v>18</v>
      </c>
      <c r="D200" s="1" t="s">
        <v>35</v>
      </c>
      <c r="E200" s="1" t="s">
        <v>10</v>
      </c>
      <c r="F200" s="1" t="s">
        <v>13</v>
      </c>
      <c r="G200" s="1">
        <v>5</v>
      </c>
      <c r="H200" s="1">
        <v>20918.330000000002</v>
      </c>
      <c r="I200" s="1">
        <v>0.25</v>
      </c>
      <c r="J200" s="1">
        <v>8206.36</v>
      </c>
      <c r="K200" s="1" t="s">
        <v>10</v>
      </c>
    </row>
    <row r="201" spans="1:11" ht="15" customHeight="1" x14ac:dyDescent="0.25">
      <c r="A201" s="1">
        <v>10200</v>
      </c>
      <c r="B201" s="2">
        <v>45951</v>
      </c>
      <c r="C201" s="1" t="s">
        <v>22</v>
      </c>
      <c r="D201" s="1" t="s">
        <v>36</v>
      </c>
      <c r="E201" s="1" t="s">
        <v>10</v>
      </c>
      <c r="F201" s="1" t="s">
        <v>11</v>
      </c>
      <c r="G201" s="1">
        <v>1</v>
      </c>
      <c r="H201" s="1">
        <v>60626.78</v>
      </c>
      <c r="I201" s="1">
        <v>0.25</v>
      </c>
      <c r="J201" s="1">
        <v>4012.82</v>
      </c>
      <c r="K201" s="1" t="s">
        <v>10</v>
      </c>
    </row>
    <row r="202" spans="1:11" ht="15" customHeight="1" x14ac:dyDescent="0.25">
      <c r="A202" s="1">
        <v>10201</v>
      </c>
      <c r="B202" s="2">
        <v>45884</v>
      </c>
      <c r="C202" s="1" t="s">
        <v>20</v>
      </c>
      <c r="D202" s="1" t="s">
        <v>33</v>
      </c>
      <c r="E202" s="1" t="s">
        <v>8</v>
      </c>
      <c r="F202" s="1" t="s">
        <v>9</v>
      </c>
      <c r="G202" s="1">
        <v>1</v>
      </c>
      <c r="H202" s="1">
        <v>15045.42</v>
      </c>
      <c r="I202" s="1">
        <v>0.05</v>
      </c>
      <c r="J202" s="1">
        <v>6031.92</v>
      </c>
      <c r="K202" s="1" t="s">
        <v>8</v>
      </c>
    </row>
    <row r="203" spans="1:11" ht="15" customHeight="1" x14ac:dyDescent="0.25">
      <c r="A203" s="1">
        <v>10202</v>
      </c>
      <c r="B203" s="2">
        <v>45672</v>
      </c>
      <c r="C203" s="1" t="s">
        <v>18</v>
      </c>
      <c r="D203" s="1" t="s">
        <v>37</v>
      </c>
      <c r="E203" s="1" t="s">
        <v>8</v>
      </c>
      <c r="F203" s="1" t="s">
        <v>11</v>
      </c>
      <c r="G203" s="1">
        <v>1</v>
      </c>
      <c r="H203" s="1">
        <v>26227.98</v>
      </c>
      <c r="I203" s="1">
        <v>0.2</v>
      </c>
      <c r="J203" s="1">
        <v>7766.41</v>
      </c>
      <c r="K203" s="1" t="s">
        <v>8</v>
      </c>
    </row>
    <row r="204" spans="1:11" ht="15" customHeight="1" x14ac:dyDescent="0.25">
      <c r="A204" s="1">
        <v>10203</v>
      </c>
      <c r="B204" s="2">
        <v>45849</v>
      </c>
      <c r="C204" s="1" t="s">
        <v>20</v>
      </c>
      <c r="D204" s="1" t="s">
        <v>33</v>
      </c>
      <c r="E204" s="1" t="s">
        <v>8</v>
      </c>
      <c r="F204" s="1" t="s">
        <v>13</v>
      </c>
      <c r="G204" s="1">
        <v>5</v>
      </c>
      <c r="H204" s="1">
        <v>25502.98</v>
      </c>
      <c r="I204" s="1">
        <v>0.25</v>
      </c>
      <c r="J204" s="1">
        <v>6151.32</v>
      </c>
      <c r="K204" s="1" t="s">
        <v>8</v>
      </c>
    </row>
    <row r="205" spans="1:11" ht="15" customHeight="1" x14ac:dyDescent="0.25">
      <c r="A205" s="1">
        <v>10204</v>
      </c>
      <c r="B205" s="2">
        <v>45776</v>
      </c>
      <c r="C205" s="1" t="s">
        <v>20</v>
      </c>
      <c r="D205" s="1" t="s">
        <v>40</v>
      </c>
      <c r="E205" s="1" t="s">
        <v>10</v>
      </c>
      <c r="F205" s="1" t="s">
        <v>11</v>
      </c>
      <c r="G205" s="1">
        <v>3</v>
      </c>
      <c r="H205" s="1">
        <v>73400.149999999994</v>
      </c>
      <c r="I205" s="1">
        <v>0.15</v>
      </c>
      <c r="J205" s="1">
        <v>1483.44</v>
      </c>
      <c r="K205" s="1" t="s">
        <v>10</v>
      </c>
    </row>
    <row r="206" spans="1:11" ht="15" customHeight="1" x14ac:dyDescent="0.25">
      <c r="A206" s="1">
        <v>10205</v>
      </c>
      <c r="B206" s="2">
        <v>45685</v>
      </c>
      <c r="C206" s="1" t="s">
        <v>22</v>
      </c>
      <c r="D206" s="1" t="s">
        <v>34</v>
      </c>
      <c r="E206" s="1" t="s">
        <v>10</v>
      </c>
      <c r="F206" s="1" t="s">
        <v>13</v>
      </c>
      <c r="G206" s="1">
        <v>3</v>
      </c>
      <c r="H206" s="1">
        <v>64312.02</v>
      </c>
      <c r="I206" s="1">
        <v>0.15</v>
      </c>
      <c r="J206" s="1">
        <v>3779.17</v>
      </c>
      <c r="K206" s="1" t="s">
        <v>10</v>
      </c>
    </row>
    <row r="207" spans="1:11" ht="15" customHeight="1" x14ac:dyDescent="0.25">
      <c r="A207" s="1">
        <v>10206</v>
      </c>
      <c r="B207" s="2">
        <v>45859</v>
      </c>
      <c r="C207" s="1" t="s">
        <v>20</v>
      </c>
      <c r="D207" s="1" t="s">
        <v>35</v>
      </c>
      <c r="E207" s="1" t="s">
        <v>10</v>
      </c>
      <c r="F207" s="1" t="s">
        <v>11</v>
      </c>
      <c r="G207" s="1">
        <v>7</v>
      </c>
      <c r="H207" s="1">
        <v>52737.15</v>
      </c>
      <c r="I207" s="1">
        <v>0.2</v>
      </c>
      <c r="J207" s="1">
        <v>9638.6299999999992</v>
      </c>
      <c r="K207" s="1" t="s">
        <v>10</v>
      </c>
    </row>
    <row r="208" spans="1:11" ht="15" customHeight="1" x14ac:dyDescent="0.25">
      <c r="A208" s="1">
        <v>10207</v>
      </c>
      <c r="B208" s="2">
        <v>45696</v>
      </c>
      <c r="C208" s="1" t="s">
        <v>20</v>
      </c>
      <c r="D208" s="1" t="s">
        <v>37</v>
      </c>
      <c r="E208" s="1" t="s">
        <v>8</v>
      </c>
      <c r="F208" s="1" t="s">
        <v>9</v>
      </c>
      <c r="G208" s="1">
        <v>7</v>
      </c>
      <c r="H208" s="1">
        <v>54665.73</v>
      </c>
      <c r="I208" s="1">
        <v>0.25</v>
      </c>
      <c r="J208" s="1">
        <v>10343.950000000001</v>
      </c>
      <c r="K208" s="1" t="s">
        <v>8</v>
      </c>
    </row>
    <row r="209" spans="1:11" ht="15" customHeight="1" x14ac:dyDescent="0.25">
      <c r="A209" s="1">
        <v>10208</v>
      </c>
      <c r="B209" s="2">
        <v>45930</v>
      </c>
      <c r="C209" s="1" t="s">
        <v>22</v>
      </c>
      <c r="D209" s="1" t="s">
        <v>34</v>
      </c>
      <c r="E209" s="1" t="s">
        <v>10</v>
      </c>
      <c r="F209" s="1" t="s">
        <v>9</v>
      </c>
      <c r="G209" s="1">
        <v>1</v>
      </c>
      <c r="H209" s="1">
        <v>42374.42</v>
      </c>
      <c r="I209" s="1">
        <v>0.05</v>
      </c>
      <c r="J209" s="1">
        <v>1690.74</v>
      </c>
      <c r="K209" s="1" t="s">
        <v>10</v>
      </c>
    </row>
    <row r="210" spans="1:11" ht="15" customHeight="1" x14ac:dyDescent="0.25">
      <c r="A210" s="1">
        <v>10209</v>
      </c>
      <c r="B210" s="2">
        <v>45888</v>
      </c>
      <c r="C210" s="1" t="s">
        <v>19</v>
      </c>
      <c r="D210" s="1" t="s">
        <v>39</v>
      </c>
      <c r="E210" s="1" t="s">
        <v>10</v>
      </c>
      <c r="F210" s="1" t="s">
        <v>11</v>
      </c>
      <c r="G210" s="1">
        <v>7</v>
      </c>
      <c r="H210" s="1">
        <v>71058.25</v>
      </c>
      <c r="I210" s="1">
        <v>0.05</v>
      </c>
      <c r="J210" s="1">
        <v>11431.02</v>
      </c>
      <c r="K210" s="1" t="s">
        <v>10</v>
      </c>
    </row>
    <row r="211" spans="1:11" ht="15" customHeight="1" x14ac:dyDescent="0.25">
      <c r="A211" s="1">
        <v>10210</v>
      </c>
      <c r="B211" s="2">
        <v>45743</v>
      </c>
      <c r="C211" s="1" t="s">
        <v>17</v>
      </c>
      <c r="D211" s="1" t="s">
        <v>35</v>
      </c>
      <c r="E211" s="1" t="s">
        <v>10</v>
      </c>
      <c r="F211" s="1" t="s">
        <v>11</v>
      </c>
      <c r="G211" s="1">
        <v>5</v>
      </c>
      <c r="H211" s="1">
        <v>37471.279999999999</v>
      </c>
      <c r="I211" s="1">
        <v>0.05</v>
      </c>
      <c r="J211" s="1">
        <v>3979.43</v>
      </c>
      <c r="K211" s="1" t="s">
        <v>10</v>
      </c>
    </row>
    <row r="212" spans="1:11" ht="15" customHeight="1" x14ac:dyDescent="0.25">
      <c r="A212" s="1">
        <v>10211</v>
      </c>
      <c r="B212" s="2">
        <v>45783</v>
      </c>
      <c r="C212" s="1" t="s">
        <v>23</v>
      </c>
      <c r="D212" s="1" t="s">
        <v>33</v>
      </c>
      <c r="E212" s="1" t="s">
        <v>8</v>
      </c>
      <c r="F212" s="1" t="s">
        <v>9</v>
      </c>
      <c r="G212" s="1">
        <v>3</v>
      </c>
      <c r="H212" s="1">
        <v>28848.57</v>
      </c>
      <c r="I212" s="1">
        <v>0</v>
      </c>
      <c r="J212" s="1">
        <v>7964.65</v>
      </c>
      <c r="K212" s="1" t="s">
        <v>8</v>
      </c>
    </row>
    <row r="213" spans="1:11" ht="15" customHeight="1" x14ac:dyDescent="0.25">
      <c r="A213" s="1">
        <v>10212</v>
      </c>
      <c r="B213" s="2">
        <v>45957</v>
      </c>
      <c r="C213" s="1" t="s">
        <v>21</v>
      </c>
      <c r="D213" s="1" t="s">
        <v>33</v>
      </c>
      <c r="E213" s="1" t="s">
        <v>8</v>
      </c>
      <c r="F213" s="1" t="s">
        <v>13</v>
      </c>
      <c r="G213" s="1">
        <v>6</v>
      </c>
      <c r="H213" s="1">
        <v>12646.13</v>
      </c>
      <c r="I213" s="1">
        <v>0.2</v>
      </c>
      <c r="K213" s="1" t="s">
        <v>8</v>
      </c>
    </row>
    <row r="214" spans="1:11" ht="15" customHeight="1" x14ac:dyDescent="0.25">
      <c r="A214" s="1">
        <v>10213</v>
      </c>
      <c r="B214" s="2">
        <v>45682</v>
      </c>
      <c r="C214" s="1" t="s">
        <v>25</v>
      </c>
      <c r="D214" s="1" t="s">
        <v>35</v>
      </c>
      <c r="E214" s="1" t="s">
        <v>10</v>
      </c>
      <c r="F214" s="1" t="s">
        <v>9</v>
      </c>
      <c r="G214" s="1">
        <v>3</v>
      </c>
      <c r="H214" s="1">
        <v>59072.32</v>
      </c>
      <c r="I214" s="1">
        <v>0.05</v>
      </c>
      <c r="J214" s="1">
        <v>9752.76</v>
      </c>
      <c r="K214" s="1" t="s">
        <v>10</v>
      </c>
    </row>
    <row r="215" spans="1:11" ht="15" customHeight="1" x14ac:dyDescent="0.25">
      <c r="A215" s="1">
        <v>10214</v>
      </c>
      <c r="B215" s="2">
        <v>45802</v>
      </c>
      <c r="C215" s="1" t="s">
        <v>21</v>
      </c>
      <c r="D215" s="1" t="s">
        <v>33</v>
      </c>
      <c r="E215" s="1" t="s">
        <v>8</v>
      </c>
      <c r="F215" s="1" t="s">
        <v>13</v>
      </c>
      <c r="G215" s="1">
        <v>3</v>
      </c>
      <c r="H215" s="1">
        <v>55216.07</v>
      </c>
      <c r="I215" s="1">
        <v>0.15</v>
      </c>
      <c r="J215" s="1">
        <v>11351.71</v>
      </c>
      <c r="K215" s="1" t="s">
        <v>8</v>
      </c>
    </row>
    <row r="216" spans="1:11" ht="15" customHeight="1" x14ac:dyDescent="0.25">
      <c r="A216" s="1">
        <v>10215</v>
      </c>
      <c r="B216" s="2">
        <v>45670</v>
      </c>
      <c r="C216" s="1" t="s">
        <v>21</v>
      </c>
      <c r="D216" s="1" t="s">
        <v>36</v>
      </c>
      <c r="E216" s="1" t="s">
        <v>10</v>
      </c>
      <c r="F216" s="1" t="s">
        <v>11</v>
      </c>
      <c r="G216" s="1">
        <v>5</v>
      </c>
      <c r="H216" s="1">
        <v>29134.45</v>
      </c>
      <c r="I216" s="1">
        <v>0.25</v>
      </c>
      <c r="J216" s="1">
        <v>3789.39</v>
      </c>
      <c r="K216" s="1" t="s">
        <v>10</v>
      </c>
    </row>
    <row r="217" spans="1:11" ht="15" customHeight="1" x14ac:dyDescent="0.25">
      <c r="A217" s="1">
        <v>10216</v>
      </c>
      <c r="B217" s="2">
        <v>45869</v>
      </c>
      <c r="C217" s="1" t="s">
        <v>18</v>
      </c>
      <c r="D217" s="1" t="s">
        <v>35</v>
      </c>
      <c r="E217" s="1" t="s">
        <v>10</v>
      </c>
      <c r="F217" s="1" t="s">
        <v>11</v>
      </c>
      <c r="G217" s="1">
        <v>7</v>
      </c>
      <c r="H217" s="1">
        <v>2376.91</v>
      </c>
      <c r="I217" s="1">
        <v>0.1</v>
      </c>
      <c r="J217" s="1">
        <v>10309.15</v>
      </c>
      <c r="K217" s="1" t="s">
        <v>10</v>
      </c>
    </row>
    <row r="218" spans="1:11" ht="15" customHeight="1" x14ac:dyDescent="0.25">
      <c r="A218" s="1">
        <v>10217</v>
      </c>
      <c r="B218" s="2">
        <v>45682</v>
      </c>
      <c r="C218" s="1" t="s">
        <v>17</v>
      </c>
      <c r="D218" s="1" t="s">
        <v>34</v>
      </c>
      <c r="E218" s="1" t="s">
        <v>10</v>
      </c>
      <c r="F218" s="1" t="s">
        <v>13</v>
      </c>
      <c r="G218" s="1">
        <v>6</v>
      </c>
      <c r="H218" s="1">
        <v>63005.3</v>
      </c>
      <c r="I218" s="1">
        <v>0.1</v>
      </c>
      <c r="J218" s="1">
        <v>1623.66</v>
      </c>
      <c r="K218" s="1" t="s">
        <v>10</v>
      </c>
    </row>
    <row r="219" spans="1:11" ht="15" customHeight="1" x14ac:dyDescent="0.25">
      <c r="A219" s="1">
        <v>10218</v>
      </c>
      <c r="B219" s="2">
        <v>45725</v>
      </c>
      <c r="C219" s="1" t="s">
        <v>18</v>
      </c>
      <c r="D219" s="1" t="s">
        <v>35</v>
      </c>
      <c r="E219" s="1" t="s">
        <v>10</v>
      </c>
      <c r="F219" s="1" t="s">
        <v>11</v>
      </c>
      <c r="G219" s="1">
        <v>5</v>
      </c>
      <c r="H219" s="1">
        <v>1350.64</v>
      </c>
      <c r="I219" s="1">
        <v>0.05</v>
      </c>
      <c r="J219" s="1">
        <v>8475.24</v>
      </c>
      <c r="K219" s="1" t="s">
        <v>10</v>
      </c>
    </row>
    <row r="220" spans="1:11" ht="15" customHeight="1" x14ac:dyDescent="0.25">
      <c r="A220" s="1">
        <v>10219</v>
      </c>
      <c r="B220" s="2">
        <v>45724</v>
      </c>
      <c r="C220" s="1" t="s">
        <v>17</v>
      </c>
      <c r="D220" s="1" t="s">
        <v>37</v>
      </c>
      <c r="E220" s="1" t="s">
        <v>8</v>
      </c>
      <c r="F220" s="1" t="s">
        <v>13</v>
      </c>
      <c r="G220" s="1">
        <v>1</v>
      </c>
      <c r="H220" s="1">
        <v>52925.63</v>
      </c>
      <c r="I220" s="1">
        <v>0.1</v>
      </c>
      <c r="J220" s="1">
        <v>8916.6299999999992</v>
      </c>
      <c r="K220" s="1" t="s">
        <v>8</v>
      </c>
    </row>
    <row r="221" spans="1:11" ht="15" customHeight="1" x14ac:dyDescent="0.25">
      <c r="A221" s="1">
        <v>10220</v>
      </c>
      <c r="B221" s="2">
        <v>45890</v>
      </c>
      <c r="C221" s="1" t="s">
        <v>22</v>
      </c>
      <c r="D221" s="1" t="s">
        <v>33</v>
      </c>
      <c r="E221" s="1" t="s">
        <v>8</v>
      </c>
      <c r="F221" s="1" t="s">
        <v>12</v>
      </c>
      <c r="G221" s="1">
        <v>4</v>
      </c>
      <c r="H221" s="1">
        <v>72784.149999999994</v>
      </c>
      <c r="I221" s="1">
        <v>0.1</v>
      </c>
      <c r="J221" s="1">
        <v>8148.79</v>
      </c>
      <c r="K221" s="1" t="s">
        <v>8</v>
      </c>
    </row>
    <row r="222" spans="1:11" ht="15" customHeight="1" x14ac:dyDescent="0.25">
      <c r="A222" s="1">
        <v>10221</v>
      </c>
      <c r="B222" s="2">
        <v>45766</v>
      </c>
      <c r="C222" s="1" t="s">
        <v>22</v>
      </c>
      <c r="D222" s="1" t="s">
        <v>36</v>
      </c>
      <c r="E222" s="1" t="s">
        <v>10</v>
      </c>
      <c r="F222" s="1" t="s">
        <v>9</v>
      </c>
      <c r="G222" s="1">
        <v>3</v>
      </c>
      <c r="H222" s="1">
        <v>33105.769999999997</v>
      </c>
      <c r="I222" s="1">
        <v>0</v>
      </c>
      <c r="J222" s="1">
        <v>3065.16</v>
      </c>
      <c r="K222" s="1" t="s">
        <v>10</v>
      </c>
    </row>
    <row r="223" spans="1:11" ht="15" customHeight="1" x14ac:dyDescent="0.25">
      <c r="A223" s="1">
        <v>10222</v>
      </c>
      <c r="B223" s="2">
        <v>45803</v>
      </c>
      <c r="C223" s="1" t="s">
        <v>23</v>
      </c>
      <c r="D223" s="1" t="s">
        <v>36</v>
      </c>
      <c r="E223" s="1" t="s">
        <v>10</v>
      </c>
      <c r="F223" s="1" t="s">
        <v>12</v>
      </c>
      <c r="G223" s="1">
        <v>4</v>
      </c>
      <c r="H223" s="1">
        <v>18005.52</v>
      </c>
      <c r="I223" s="1">
        <v>0.15</v>
      </c>
      <c r="J223" s="1">
        <v>10482.870000000001</v>
      </c>
      <c r="K223" s="1" t="s">
        <v>10</v>
      </c>
    </row>
    <row r="224" spans="1:11" ht="15" customHeight="1" x14ac:dyDescent="0.25">
      <c r="A224" s="1">
        <v>10223</v>
      </c>
      <c r="B224" s="2">
        <v>45768</v>
      </c>
      <c r="C224" s="1" t="s">
        <v>17</v>
      </c>
      <c r="D224" s="1" t="s">
        <v>39</v>
      </c>
      <c r="E224" s="1" t="s">
        <v>10</v>
      </c>
      <c r="F224" s="1" t="s">
        <v>13</v>
      </c>
      <c r="G224" s="1">
        <v>5</v>
      </c>
      <c r="H224" s="1">
        <v>53012.89</v>
      </c>
      <c r="I224" s="1">
        <v>0.15</v>
      </c>
      <c r="J224" s="1">
        <v>2067.86</v>
      </c>
      <c r="K224" s="1" t="s">
        <v>10</v>
      </c>
    </row>
    <row r="225" spans="1:11" ht="15" customHeight="1" x14ac:dyDescent="0.25">
      <c r="A225" s="1">
        <v>10224</v>
      </c>
      <c r="B225" s="2">
        <v>45885</v>
      </c>
      <c r="C225" s="1" t="s">
        <v>20</v>
      </c>
      <c r="D225" s="1" t="s">
        <v>34</v>
      </c>
      <c r="E225" s="1" t="s">
        <v>10</v>
      </c>
      <c r="F225" s="1" t="s">
        <v>9</v>
      </c>
      <c r="G225" s="1">
        <v>5</v>
      </c>
      <c r="H225" s="1">
        <v>61376.05</v>
      </c>
      <c r="I225" s="1">
        <v>0</v>
      </c>
      <c r="J225" s="1">
        <v>690.94</v>
      </c>
      <c r="K225" s="1" t="s">
        <v>10</v>
      </c>
    </row>
    <row r="226" spans="1:11" ht="15" customHeight="1" x14ac:dyDescent="0.25">
      <c r="A226" s="1">
        <v>10225</v>
      </c>
      <c r="B226" s="2">
        <v>45768</v>
      </c>
      <c r="C226" s="1" t="s">
        <v>19</v>
      </c>
      <c r="D226" s="1" t="s">
        <v>38</v>
      </c>
      <c r="E226" s="1" t="s">
        <v>10</v>
      </c>
      <c r="F226" s="1" t="s">
        <v>13</v>
      </c>
      <c r="G226" s="1">
        <v>5</v>
      </c>
      <c r="H226" s="1">
        <v>41209.06</v>
      </c>
      <c r="I226" s="1">
        <v>0</v>
      </c>
      <c r="J226" s="1">
        <v>8623.7099999999991</v>
      </c>
      <c r="K226" s="1" t="s">
        <v>10</v>
      </c>
    </row>
    <row r="227" spans="1:11" ht="15" customHeight="1" x14ac:dyDescent="0.25">
      <c r="A227" s="1">
        <v>10226</v>
      </c>
      <c r="B227" s="2">
        <v>45691</v>
      </c>
      <c r="C227" s="1" t="s">
        <v>23</v>
      </c>
      <c r="D227" s="1" t="s">
        <v>38</v>
      </c>
      <c r="E227" s="1" t="s">
        <v>10</v>
      </c>
      <c r="F227" s="1" t="s">
        <v>9</v>
      </c>
      <c r="G227" s="1">
        <v>4</v>
      </c>
      <c r="H227" s="1">
        <v>72544.13</v>
      </c>
      <c r="I227" s="1">
        <v>0.1</v>
      </c>
      <c r="J227" s="1">
        <v>5731.93</v>
      </c>
      <c r="K227" s="1" t="s">
        <v>10</v>
      </c>
    </row>
    <row r="228" spans="1:11" ht="15" customHeight="1" x14ac:dyDescent="0.25">
      <c r="A228" s="1">
        <v>10227</v>
      </c>
      <c r="B228" s="2">
        <v>45768</v>
      </c>
      <c r="C228" s="1" t="s">
        <v>23</v>
      </c>
      <c r="D228" s="1" t="s">
        <v>35</v>
      </c>
      <c r="E228" s="1" t="s">
        <v>10</v>
      </c>
      <c r="F228" s="1" t="s">
        <v>9</v>
      </c>
      <c r="G228" s="1">
        <v>5</v>
      </c>
      <c r="H228" s="1">
        <v>4349.32</v>
      </c>
      <c r="I228" s="1">
        <v>0.2</v>
      </c>
      <c r="J228" s="1">
        <v>10196.719999999999</v>
      </c>
      <c r="K228" s="1" t="s">
        <v>10</v>
      </c>
    </row>
    <row r="229" spans="1:11" ht="15" customHeight="1" x14ac:dyDescent="0.25">
      <c r="A229" s="1">
        <v>10228</v>
      </c>
      <c r="B229" s="2">
        <v>45921</v>
      </c>
      <c r="C229" s="1" t="s">
        <v>20</v>
      </c>
      <c r="D229" s="1" t="s">
        <v>39</v>
      </c>
      <c r="E229" s="1" t="s">
        <v>10</v>
      </c>
      <c r="F229" s="1" t="s">
        <v>9</v>
      </c>
      <c r="G229" s="1">
        <v>1</v>
      </c>
      <c r="H229" s="1">
        <v>38107.269999999997</v>
      </c>
      <c r="I229" s="1">
        <v>0.25</v>
      </c>
      <c r="J229" s="1">
        <v>4631.6000000000004</v>
      </c>
      <c r="K229" s="1" t="s">
        <v>10</v>
      </c>
    </row>
    <row r="230" spans="1:11" ht="15" customHeight="1" x14ac:dyDescent="0.25">
      <c r="A230" s="1">
        <v>10229</v>
      </c>
      <c r="B230" s="2">
        <v>45893</v>
      </c>
      <c r="C230" s="1" t="s">
        <v>19</v>
      </c>
      <c r="D230" s="1" t="s">
        <v>40</v>
      </c>
      <c r="E230" s="1" t="s">
        <v>10</v>
      </c>
      <c r="F230" s="1" t="s">
        <v>9</v>
      </c>
      <c r="G230" s="1">
        <v>5</v>
      </c>
      <c r="H230" s="1">
        <v>54024.82</v>
      </c>
      <c r="I230" s="1">
        <v>0.25</v>
      </c>
      <c r="J230" s="1">
        <v>2060.9299999999998</v>
      </c>
      <c r="K230" s="1" t="s">
        <v>10</v>
      </c>
    </row>
    <row r="231" spans="1:11" ht="15" customHeight="1" x14ac:dyDescent="0.25">
      <c r="A231" s="1">
        <v>10230</v>
      </c>
      <c r="B231" s="2">
        <v>45740</v>
      </c>
      <c r="C231" s="1" t="s">
        <v>18</v>
      </c>
      <c r="D231" s="1" t="s">
        <v>35</v>
      </c>
      <c r="E231" s="1" t="s">
        <v>10</v>
      </c>
      <c r="F231" s="1" t="s">
        <v>13</v>
      </c>
      <c r="G231" s="1">
        <v>2</v>
      </c>
      <c r="H231" s="1">
        <v>64766.720000000001</v>
      </c>
      <c r="I231" s="1">
        <v>0.1</v>
      </c>
      <c r="J231" s="1">
        <v>10045.48</v>
      </c>
      <c r="K231" s="1" t="s">
        <v>10</v>
      </c>
    </row>
    <row r="232" spans="1:11" ht="15" customHeight="1" x14ac:dyDescent="0.25">
      <c r="A232" s="1">
        <v>10231</v>
      </c>
      <c r="B232" s="2">
        <v>45699</v>
      </c>
      <c r="C232" s="1" t="s">
        <v>19</v>
      </c>
      <c r="D232" s="1" t="s">
        <v>39</v>
      </c>
      <c r="E232" s="1" t="s">
        <v>10</v>
      </c>
      <c r="F232" s="1" t="s">
        <v>9</v>
      </c>
      <c r="G232" s="1">
        <v>7</v>
      </c>
      <c r="H232" s="1">
        <v>13854.54</v>
      </c>
      <c r="I232" s="1">
        <v>0.25</v>
      </c>
      <c r="J232" s="1">
        <v>6609.47</v>
      </c>
      <c r="K232" s="1" t="s">
        <v>10</v>
      </c>
    </row>
    <row r="233" spans="1:11" ht="15" customHeight="1" x14ac:dyDescent="0.25">
      <c r="A233" s="1">
        <v>10232</v>
      </c>
      <c r="B233" s="2">
        <v>45758</v>
      </c>
      <c r="C233" s="1" t="s">
        <v>18</v>
      </c>
      <c r="D233" s="1" t="s">
        <v>34</v>
      </c>
      <c r="E233" s="1" t="s">
        <v>10</v>
      </c>
      <c r="F233" s="1" t="s">
        <v>9</v>
      </c>
      <c r="G233" s="1">
        <v>4</v>
      </c>
      <c r="H233" s="1">
        <v>60100.26</v>
      </c>
      <c r="I233" s="1">
        <v>0</v>
      </c>
      <c r="J233" s="1">
        <v>2310.89</v>
      </c>
      <c r="K233" s="1" t="s">
        <v>10</v>
      </c>
    </row>
    <row r="234" spans="1:11" ht="15" customHeight="1" x14ac:dyDescent="0.25">
      <c r="A234" s="1">
        <v>10233</v>
      </c>
      <c r="B234" s="2">
        <v>45663</v>
      </c>
      <c r="C234" s="1" t="s">
        <v>22</v>
      </c>
      <c r="D234" s="1" t="s">
        <v>34</v>
      </c>
      <c r="E234" s="1" t="s">
        <v>10</v>
      </c>
      <c r="F234" s="1" t="s">
        <v>12</v>
      </c>
      <c r="G234" s="1">
        <v>2</v>
      </c>
      <c r="H234" s="1">
        <v>41676.68</v>
      </c>
      <c r="I234" s="1">
        <v>0.15</v>
      </c>
      <c r="J234" s="1">
        <v>8658.59</v>
      </c>
      <c r="K234" s="1" t="s">
        <v>10</v>
      </c>
    </row>
    <row r="235" spans="1:11" ht="15" customHeight="1" x14ac:dyDescent="0.25">
      <c r="A235" s="1">
        <v>10234</v>
      </c>
      <c r="B235" s="2">
        <v>45837</v>
      </c>
      <c r="C235" s="1" t="s">
        <v>21</v>
      </c>
      <c r="D235" s="1" t="s">
        <v>34</v>
      </c>
      <c r="E235" s="1" t="s">
        <v>10</v>
      </c>
      <c r="F235" s="1" t="s">
        <v>11</v>
      </c>
      <c r="G235" s="1">
        <v>5</v>
      </c>
      <c r="H235" s="1">
        <v>30043.25</v>
      </c>
      <c r="I235" s="1">
        <v>0.25</v>
      </c>
      <c r="J235" s="1">
        <v>6157.81</v>
      </c>
      <c r="K235" s="1" t="s">
        <v>10</v>
      </c>
    </row>
    <row r="236" spans="1:11" ht="15" customHeight="1" x14ac:dyDescent="0.25">
      <c r="A236" s="1">
        <v>10235</v>
      </c>
      <c r="B236" s="2">
        <v>45939</v>
      </c>
      <c r="C236" s="1" t="s">
        <v>22</v>
      </c>
      <c r="D236" s="1" t="s">
        <v>34</v>
      </c>
      <c r="E236" s="1" t="s">
        <v>10</v>
      </c>
      <c r="F236" s="1" t="s">
        <v>11</v>
      </c>
      <c r="G236" s="1">
        <v>1</v>
      </c>
      <c r="H236" s="1">
        <v>10312.77</v>
      </c>
      <c r="I236" s="1">
        <v>0.1</v>
      </c>
      <c r="J236" s="1">
        <v>7271.54</v>
      </c>
      <c r="K236" s="1" t="s">
        <v>10</v>
      </c>
    </row>
    <row r="237" spans="1:11" ht="15" customHeight="1" x14ac:dyDescent="0.25">
      <c r="A237" s="1">
        <v>10236</v>
      </c>
      <c r="B237" s="2">
        <v>45977</v>
      </c>
      <c r="C237" s="1" t="s">
        <v>22</v>
      </c>
      <c r="D237" s="1" t="s">
        <v>34</v>
      </c>
      <c r="E237" s="1" t="s">
        <v>10</v>
      </c>
      <c r="F237" s="1" t="s">
        <v>12</v>
      </c>
      <c r="G237" s="1">
        <v>3</v>
      </c>
      <c r="H237" s="1">
        <v>64964.53</v>
      </c>
      <c r="I237" s="1">
        <v>0.2</v>
      </c>
      <c r="J237" s="1">
        <v>5557.74</v>
      </c>
      <c r="K237" s="1" t="s">
        <v>10</v>
      </c>
    </row>
    <row r="238" spans="1:11" ht="15" customHeight="1" x14ac:dyDescent="0.25">
      <c r="A238" s="1">
        <v>10237</v>
      </c>
      <c r="B238" s="2">
        <v>45883</v>
      </c>
      <c r="C238" s="1" t="s">
        <v>21</v>
      </c>
      <c r="D238" s="1" t="s">
        <v>39</v>
      </c>
      <c r="E238" s="1" t="s">
        <v>10</v>
      </c>
      <c r="F238" s="1" t="s">
        <v>12</v>
      </c>
      <c r="G238" s="1">
        <v>6</v>
      </c>
      <c r="H238" s="1">
        <v>12216.85</v>
      </c>
      <c r="I238" s="1">
        <v>0.1</v>
      </c>
      <c r="J238" s="1">
        <v>9953.07</v>
      </c>
      <c r="K238" s="1" t="s">
        <v>10</v>
      </c>
    </row>
    <row r="239" spans="1:11" ht="15" customHeight="1" x14ac:dyDescent="0.25">
      <c r="A239" s="1">
        <v>10238</v>
      </c>
      <c r="B239" s="2">
        <v>45972</v>
      </c>
      <c r="C239" s="1" t="s">
        <v>19</v>
      </c>
      <c r="D239" s="1" t="s">
        <v>39</v>
      </c>
      <c r="E239" s="1" t="s">
        <v>10</v>
      </c>
      <c r="F239" s="1" t="s">
        <v>13</v>
      </c>
      <c r="G239" s="1">
        <v>7</v>
      </c>
      <c r="H239" s="1">
        <v>23579.200000000001</v>
      </c>
      <c r="I239" s="1">
        <v>0.05</v>
      </c>
      <c r="J239" s="1">
        <v>9963.27</v>
      </c>
      <c r="K239" s="1" t="s">
        <v>10</v>
      </c>
    </row>
    <row r="240" spans="1:11" ht="15" customHeight="1" x14ac:dyDescent="0.25">
      <c r="A240" s="1">
        <v>10239</v>
      </c>
      <c r="B240" s="2">
        <v>46022</v>
      </c>
      <c r="C240" s="1" t="s">
        <v>23</v>
      </c>
      <c r="D240" s="1" t="s">
        <v>36</v>
      </c>
      <c r="E240" s="1" t="s">
        <v>10</v>
      </c>
      <c r="F240" s="1" t="s">
        <v>13</v>
      </c>
      <c r="G240" s="1">
        <v>6</v>
      </c>
      <c r="H240" s="1">
        <v>22108.39</v>
      </c>
      <c r="I240" s="1">
        <v>0.1</v>
      </c>
      <c r="J240" s="1">
        <v>8527.2000000000007</v>
      </c>
      <c r="K240" s="1" t="s">
        <v>10</v>
      </c>
    </row>
    <row r="241" spans="1:11" ht="15" customHeight="1" x14ac:dyDescent="0.25">
      <c r="A241" s="1">
        <v>10240</v>
      </c>
      <c r="B241" s="2">
        <v>45886</v>
      </c>
      <c r="C241" s="1" t="s">
        <v>19</v>
      </c>
      <c r="D241" s="1" t="s">
        <v>37</v>
      </c>
      <c r="E241" s="1" t="s">
        <v>8</v>
      </c>
      <c r="F241" s="1" t="s">
        <v>13</v>
      </c>
      <c r="G241" s="1">
        <v>5</v>
      </c>
      <c r="H241" s="1">
        <v>65420.35</v>
      </c>
      <c r="I241" s="1">
        <v>0</v>
      </c>
      <c r="J241" s="1">
        <v>1309.55</v>
      </c>
      <c r="K241" s="1" t="s">
        <v>8</v>
      </c>
    </row>
    <row r="242" spans="1:11" ht="15" customHeight="1" x14ac:dyDescent="0.25">
      <c r="A242" s="1">
        <v>10241</v>
      </c>
      <c r="B242" s="2">
        <v>45946</v>
      </c>
      <c r="C242" s="1" t="s">
        <v>18</v>
      </c>
      <c r="D242" s="1" t="s">
        <v>38</v>
      </c>
      <c r="E242" s="1" t="s">
        <v>10</v>
      </c>
      <c r="F242" s="1" t="s">
        <v>12</v>
      </c>
      <c r="G242" s="1">
        <v>7</v>
      </c>
      <c r="H242" s="1">
        <v>50616.37</v>
      </c>
      <c r="I242" s="1">
        <v>0.15</v>
      </c>
      <c r="J242" s="1">
        <v>10074.299999999999</v>
      </c>
      <c r="K242" s="1" t="s">
        <v>10</v>
      </c>
    </row>
    <row r="243" spans="1:11" ht="15" customHeight="1" x14ac:dyDescent="0.25">
      <c r="A243" s="1">
        <v>10242</v>
      </c>
      <c r="B243" s="2">
        <v>45807</v>
      </c>
      <c r="C243" s="1" t="s">
        <v>20</v>
      </c>
      <c r="D243" s="1" t="s">
        <v>33</v>
      </c>
      <c r="E243" s="1" t="s">
        <v>8</v>
      </c>
      <c r="F243" s="1" t="s">
        <v>12</v>
      </c>
      <c r="G243" s="1">
        <v>7</v>
      </c>
      <c r="H243" s="1">
        <v>59852.76</v>
      </c>
      <c r="I243" s="1">
        <v>0.15</v>
      </c>
      <c r="J243" s="1">
        <v>8068.61</v>
      </c>
      <c r="K243" s="1" t="s">
        <v>8</v>
      </c>
    </row>
    <row r="244" spans="1:11" ht="15" customHeight="1" x14ac:dyDescent="0.25">
      <c r="A244" s="1">
        <v>10243</v>
      </c>
      <c r="B244" s="2">
        <v>45934</v>
      </c>
      <c r="C244" s="1" t="s">
        <v>18</v>
      </c>
      <c r="D244" s="1" t="s">
        <v>34</v>
      </c>
      <c r="E244" s="1" t="s">
        <v>10</v>
      </c>
      <c r="F244" s="1" t="s">
        <v>9</v>
      </c>
      <c r="G244" s="1">
        <v>1</v>
      </c>
      <c r="H244" s="1">
        <v>19159.86</v>
      </c>
      <c r="I244" s="1">
        <v>0.25</v>
      </c>
      <c r="J244" s="1">
        <v>8379.44</v>
      </c>
      <c r="K244" s="1" t="s">
        <v>10</v>
      </c>
    </row>
    <row r="245" spans="1:11" ht="15" customHeight="1" x14ac:dyDescent="0.25">
      <c r="A245" s="1">
        <v>10244</v>
      </c>
      <c r="B245" s="2">
        <v>45855</v>
      </c>
      <c r="C245" s="1" t="s">
        <v>20</v>
      </c>
      <c r="D245" s="1" t="s">
        <v>40</v>
      </c>
      <c r="E245" s="1" t="s">
        <v>10</v>
      </c>
      <c r="F245" s="1" t="s">
        <v>13</v>
      </c>
      <c r="G245" s="1">
        <v>7</v>
      </c>
      <c r="H245" s="1">
        <v>47053.120000000003</v>
      </c>
      <c r="I245" s="1">
        <v>0</v>
      </c>
      <c r="J245" s="1">
        <v>4387.6400000000003</v>
      </c>
      <c r="K245" s="1" t="s">
        <v>10</v>
      </c>
    </row>
    <row r="246" spans="1:11" ht="15" customHeight="1" x14ac:dyDescent="0.25">
      <c r="A246" s="1">
        <v>10245</v>
      </c>
      <c r="B246" s="2">
        <v>45727</v>
      </c>
      <c r="C246" s="1" t="s">
        <v>22</v>
      </c>
      <c r="D246" s="1" t="s">
        <v>33</v>
      </c>
      <c r="E246" s="1" t="s">
        <v>8</v>
      </c>
      <c r="F246" s="1" t="s">
        <v>13</v>
      </c>
      <c r="G246" s="1">
        <v>4</v>
      </c>
      <c r="H246" s="1">
        <v>43095.08</v>
      </c>
      <c r="I246" s="1">
        <v>0.05</v>
      </c>
      <c r="J246" s="1">
        <v>10557.39</v>
      </c>
      <c r="K246" s="1" t="s">
        <v>8</v>
      </c>
    </row>
    <row r="247" spans="1:11" ht="15" customHeight="1" x14ac:dyDescent="0.25">
      <c r="A247" s="1">
        <v>10246</v>
      </c>
      <c r="B247" s="2">
        <v>45769</v>
      </c>
      <c r="C247" s="1" t="s">
        <v>21</v>
      </c>
      <c r="D247" s="1" t="s">
        <v>39</v>
      </c>
      <c r="E247" s="1" t="s">
        <v>10</v>
      </c>
      <c r="F247" s="1" t="s">
        <v>13</v>
      </c>
      <c r="G247" s="1">
        <v>2</v>
      </c>
      <c r="H247" s="1">
        <v>62545.86</v>
      </c>
      <c r="I247" s="1">
        <v>0</v>
      </c>
      <c r="J247" s="1">
        <v>8718.19</v>
      </c>
      <c r="K247" s="1" t="s">
        <v>10</v>
      </c>
    </row>
    <row r="248" spans="1:11" ht="15" customHeight="1" x14ac:dyDescent="0.25">
      <c r="A248" s="1">
        <v>10247</v>
      </c>
      <c r="B248" s="2">
        <v>45661</v>
      </c>
      <c r="C248" s="1" t="s">
        <v>22</v>
      </c>
      <c r="D248" s="1" t="s">
        <v>40</v>
      </c>
      <c r="E248" s="1" t="s">
        <v>10</v>
      </c>
      <c r="F248" s="1" t="s">
        <v>11</v>
      </c>
      <c r="G248" s="1">
        <v>2</v>
      </c>
      <c r="H248" s="1">
        <v>68003.490000000005</v>
      </c>
      <c r="I248" s="1">
        <v>0.1</v>
      </c>
      <c r="J248" s="1">
        <v>1395.46</v>
      </c>
      <c r="K248" s="1" t="s">
        <v>10</v>
      </c>
    </row>
    <row r="249" spans="1:11" ht="15" customHeight="1" x14ac:dyDescent="0.25">
      <c r="A249" s="1">
        <v>10248</v>
      </c>
      <c r="B249" s="2">
        <v>46007</v>
      </c>
      <c r="C249" s="1" t="s">
        <v>17</v>
      </c>
      <c r="D249" s="1" t="s">
        <v>40</v>
      </c>
      <c r="E249" s="1" t="s">
        <v>10</v>
      </c>
      <c r="F249" s="1" t="s">
        <v>9</v>
      </c>
      <c r="G249" s="1">
        <v>2</v>
      </c>
      <c r="H249" s="1">
        <v>1405.68</v>
      </c>
      <c r="I249" s="1">
        <v>0</v>
      </c>
      <c r="J249" s="1">
        <v>4922.95</v>
      </c>
      <c r="K249" s="1" t="s">
        <v>10</v>
      </c>
    </row>
    <row r="250" spans="1:11" ht="15" customHeight="1" x14ac:dyDescent="0.25">
      <c r="A250" s="1">
        <v>10249</v>
      </c>
      <c r="B250" s="2">
        <v>45988</v>
      </c>
      <c r="C250" s="1" t="s">
        <v>19</v>
      </c>
      <c r="D250" s="1" t="s">
        <v>40</v>
      </c>
      <c r="E250" s="1" t="s">
        <v>10</v>
      </c>
      <c r="F250" s="1" t="s">
        <v>13</v>
      </c>
      <c r="G250" s="1">
        <v>4</v>
      </c>
      <c r="H250" s="1">
        <v>50714.48</v>
      </c>
      <c r="I250" s="1">
        <v>0</v>
      </c>
      <c r="J250" s="1">
        <v>10642.25</v>
      </c>
      <c r="K250" s="1" t="s">
        <v>10</v>
      </c>
    </row>
    <row r="251" spans="1:11" ht="15" customHeight="1" x14ac:dyDescent="0.25">
      <c r="A251" s="1">
        <v>10250</v>
      </c>
      <c r="B251" s="2">
        <v>45975</v>
      </c>
      <c r="C251" s="1" t="s">
        <v>20</v>
      </c>
      <c r="D251" s="1" t="s">
        <v>36</v>
      </c>
      <c r="E251" s="1" t="s">
        <v>10</v>
      </c>
      <c r="F251" s="1" t="s">
        <v>13</v>
      </c>
      <c r="G251" s="1">
        <v>6</v>
      </c>
      <c r="H251" s="1">
        <v>4361.7700000000004</v>
      </c>
      <c r="I251" s="1">
        <v>0.05</v>
      </c>
      <c r="J251" s="1">
        <v>614</v>
      </c>
      <c r="K251" s="1" t="s">
        <v>10</v>
      </c>
    </row>
    <row r="252" spans="1:11" ht="15" customHeight="1" x14ac:dyDescent="0.25">
      <c r="A252" s="1">
        <v>10251</v>
      </c>
      <c r="B252" s="2">
        <v>46007</v>
      </c>
      <c r="C252" s="1" t="s">
        <v>18</v>
      </c>
      <c r="D252" s="1" t="s">
        <v>39</v>
      </c>
      <c r="E252" s="1" t="s">
        <v>10</v>
      </c>
      <c r="F252" s="1" t="s">
        <v>13</v>
      </c>
      <c r="G252" s="1">
        <v>1</v>
      </c>
      <c r="H252" s="1">
        <v>41389.97</v>
      </c>
      <c r="I252" s="1">
        <v>0.1</v>
      </c>
      <c r="J252" s="1">
        <v>11538.93</v>
      </c>
      <c r="K252" s="1" t="s">
        <v>10</v>
      </c>
    </row>
    <row r="253" spans="1:11" ht="15" customHeight="1" x14ac:dyDescent="0.25">
      <c r="A253" s="1">
        <v>10252</v>
      </c>
      <c r="B253" s="2">
        <v>45752</v>
      </c>
      <c r="C253" s="1" t="s">
        <v>21</v>
      </c>
      <c r="D253" s="1" t="s">
        <v>40</v>
      </c>
      <c r="E253" s="1" t="s">
        <v>10</v>
      </c>
      <c r="F253" s="1" t="s">
        <v>11</v>
      </c>
      <c r="G253" s="1">
        <v>7</v>
      </c>
      <c r="H253" s="1">
        <v>21928.639999999999</v>
      </c>
      <c r="I253" s="1">
        <v>0.2</v>
      </c>
      <c r="J253" s="1">
        <v>8165.99</v>
      </c>
      <c r="K253" s="1" t="s">
        <v>10</v>
      </c>
    </row>
    <row r="254" spans="1:11" ht="15" customHeight="1" x14ac:dyDescent="0.25">
      <c r="A254" s="1">
        <v>10253</v>
      </c>
      <c r="B254" s="2">
        <v>45809</v>
      </c>
      <c r="C254" s="1" t="s">
        <v>20</v>
      </c>
      <c r="D254" s="1" t="s">
        <v>34</v>
      </c>
      <c r="E254" s="1" t="s">
        <v>10</v>
      </c>
      <c r="F254" s="1" t="s">
        <v>11</v>
      </c>
      <c r="G254" s="1">
        <v>4</v>
      </c>
      <c r="H254" s="1">
        <v>23354.86</v>
      </c>
      <c r="I254" s="1">
        <v>0.2</v>
      </c>
      <c r="J254" s="1">
        <v>7594.94</v>
      </c>
      <c r="K254" s="1" t="s">
        <v>10</v>
      </c>
    </row>
    <row r="255" spans="1:11" ht="15" customHeight="1" x14ac:dyDescent="0.25">
      <c r="A255" s="1">
        <v>10254</v>
      </c>
      <c r="B255" s="2">
        <v>45968</v>
      </c>
      <c r="C255" s="1" t="s">
        <v>18</v>
      </c>
      <c r="D255" s="1" t="s">
        <v>35</v>
      </c>
      <c r="E255" s="1" t="s">
        <v>10</v>
      </c>
      <c r="F255" s="1" t="s">
        <v>12</v>
      </c>
      <c r="G255" s="1">
        <v>2</v>
      </c>
      <c r="H255" s="1">
        <v>26795.41</v>
      </c>
      <c r="I255" s="1">
        <v>0.15</v>
      </c>
      <c r="J255" s="1">
        <v>3283.18</v>
      </c>
      <c r="K255" s="1" t="s">
        <v>10</v>
      </c>
    </row>
    <row r="256" spans="1:11" ht="15" customHeight="1" x14ac:dyDescent="0.25">
      <c r="A256" s="1">
        <v>10255</v>
      </c>
      <c r="B256" s="2">
        <v>45794</v>
      </c>
      <c r="C256" s="1" t="s">
        <v>19</v>
      </c>
      <c r="D256" s="1" t="s">
        <v>40</v>
      </c>
      <c r="E256" s="1" t="s">
        <v>10</v>
      </c>
      <c r="F256" s="1" t="s">
        <v>9</v>
      </c>
      <c r="G256" s="1">
        <v>5</v>
      </c>
      <c r="H256" s="1">
        <v>46786.29</v>
      </c>
      <c r="I256" s="1">
        <v>0.25</v>
      </c>
      <c r="J256" s="1">
        <v>3023.06</v>
      </c>
      <c r="K256" s="1" t="s">
        <v>10</v>
      </c>
    </row>
    <row r="257" spans="1:11" ht="15" customHeight="1" x14ac:dyDescent="0.25">
      <c r="A257" s="1">
        <v>10256</v>
      </c>
      <c r="B257" s="2">
        <v>45904</v>
      </c>
      <c r="C257" s="1" t="s">
        <v>22</v>
      </c>
      <c r="D257" s="1" t="s">
        <v>36</v>
      </c>
      <c r="E257" s="1" t="s">
        <v>10</v>
      </c>
      <c r="F257" s="1" t="s">
        <v>12</v>
      </c>
      <c r="G257" s="1">
        <v>3</v>
      </c>
      <c r="H257" s="1">
        <v>25386.720000000001</v>
      </c>
      <c r="I257" s="1">
        <v>0</v>
      </c>
      <c r="J257" s="1">
        <v>11307.6</v>
      </c>
      <c r="K257" s="1" t="s">
        <v>10</v>
      </c>
    </row>
    <row r="258" spans="1:11" ht="15" customHeight="1" x14ac:dyDescent="0.25">
      <c r="A258" s="1">
        <v>10257</v>
      </c>
      <c r="B258" s="2">
        <v>45900</v>
      </c>
      <c r="C258" s="1" t="s">
        <v>19</v>
      </c>
      <c r="D258" s="1" t="s">
        <v>33</v>
      </c>
      <c r="E258" s="1" t="s">
        <v>8</v>
      </c>
      <c r="F258" s="1" t="s">
        <v>9</v>
      </c>
      <c r="G258" s="1">
        <v>7</v>
      </c>
      <c r="H258" s="1">
        <v>55086.080000000002</v>
      </c>
      <c r="I258" s="1">
        <v>0.15</v>
      </c>
      <c r="J258" s="1">
        <v>3614.36</v>
      </c>
      <c r="K258" s="1" t="s">
        <v>8</v>
      </c>
    </row>
    <row r="259" spans="1:11" ht="15" customHeight="1" x14ac:dyDescent="0.25">
      <c r="A259" s="1">
        <v>10258</v>
      </c>
      <c r="B259" s="2">
        <v>45688</v>
      </c>
      <c r="C259" s="1" t="s">
        <v>25</v>
      </c>
      <c r="D259" s="1" t="s">
        <v>39</v>
      </c>
      <c r="E259" s="1" t="s">
        <v>10</v>
      </c>
      <c r="F259" s="1" t="s">
        <v>11</v>
      </c>
      <c r="G259" s="1">
        <v>4</v>
      </c>
      <c r="H259" s="1">
        <v>30637.29</v>
      </c>
      <c r="I259" s="1">
        <v>0.05</v>
      </c>
      <c r="J259" s="1">
        <v>9317.2900000000009</v>
      </c>
      <c r="K259" s="1" t="s">
        <v>10</v>
      </c>
    </row>
    <row r="260" spans="1:11" ht="15" customHeight="1" x14ac:dyDescent="0.25">
      <c r="A260" s="1">
        <v>10259</v>
      </c>
      <c r="B260" s="2">
        <v>45697</v>
      </c>
      <c r="C260" s="1" t="s">
        <v>17</v>
      </c>
      <c r="D260" s="1" t="s">
        <v>37</v>
      </c>
      <c r="E260" s="1" t="s">
        <v>8</v>
      </c>
      <c r="F260" s="1" t="s">
        <v>13</v>
      </c>
      <c r="G260" s="1">
        <v>4</v>
      </c>
      <c r="H260" s="1">
        <v>5592.31</v>
      </c>
      <c r="I260" s="1">
        <v>0.2</v>
      </c>
      <c r="J260" s="1">
        <v>4747.8100000000004</v>
      </c>
      <c r="K260" s="1" t="s">
        <v>8</v>
      </c>
    </row>
    <row r="261" spans="1:11" ht="15" customHeight="1" x14ac:dyDescent="0.25">
      <c r="A261" s="1">
        <v>10260</v>
      </c>
      <c r="B261" s="2">
        <v>45886</v>
      </c>
      <c r="C261" s="1" t="s">
        <v>25</v>
      </c>
      <c r="D261" s="1" t="s">
        <v>36</v>
      </c>
      <c r="E261" s="1" t="s">
        <v>10</v>
      </c>
      <c r="F261" s="1" t="s">
        <v>12</v>
      </c>
      <c r="G261" s="1">
        <v>1</v>
      </c>
      <c r="H261" s="1">
        <v>58890.11</v>
      </c>
      <c r="I261" s="1">
        <v>0</v>
      </c>
      <c r="J261" s="1">
        <v>1714.09</v>
      </c>
      <c r="K261" s="1" t="s">
        <v>10</v>
      </c>
    </row>
    <row r="262" spans="1:11" ht="15" customHeight="1" x14ac:dyDescent="0.25">
      <c r="A262" s="1">
        <v>10261</v>
      </c>
      <c r="B262" s="2">
        <v>45693</v>
      </c>
      <c r="C262" s="1" t="s">
        <v>21</v>
      </c>
      <c r="D262" s="1" t="s">
        <v>40</v>
      </c>
      <c r="E262" s="1" t="s">
        <v>10</v>
      </c>
      <c r="F262" s="1" t="s">
        <v>13</v>
      </c>
      <c r="G262" s="1">
        <v>1</v>
      </c>
      <c r="H262" s="1">
        <v>21789</v>
      </c>
      <c r="I262" s="1">
        <v>0.05</v>
      </c>
      <c r="J262" s="1">
        <v>178.05</v>
      </c>
      <c r="K262" s="1" t="s">
        <v>10</v>
      </c>
    </row>
    <row r="263" spans="1:11" ht="15" customHeight="1" x14ac:dyDescent="0.25">
      <c r="A263" s="1">
        <v>10262</v>
      </c>
      <c r="B263" s="2">
        <v>45880</v>
      </c>
      <c r="C263" s="1" t="s">
        <v>20</v>
      </c>
      <c r="D263" s="1" t="s">
        <v>39</v>
      </c>
      <c r="E263" s="1" t="s">
        <v>10</v>
      </c>
      <c r="F263" s="1" t="s">
        <v>12</v>
      </c>
      <c r="G263" s="1">
        <v>4</v>
      </c>
      <c r="H263" s="1">
        <v>32741.13</v>
      </c>
      <c r="I263" s="1">
        <v>0.25</v>
      </c>
      <c r="J263" s="1">
        <v>6553.88</v>
      </c>
      <c r="K263" s="1" t="s">
        <v>10</v>
      </c>
    </row>
    <row r="264" spans="1:11" ht="15" customHeight="1" x14ac:dyDescent="0.25">
      <c r="A264" s="1">
        <v>10263</v>
      </c>
      <c r="B264" s="2">
        <v>45663</v>
      </c>
      <c r="C264" s="1" t="s">
        <v>21</v>
      </c>
      <c r="D264" s="1" t="s">
        <v>35</v>
      </c>
      <c r="E264" s="1" t="s">
        <v>10</v>
      </c>
      <c r="F264" s="1" t="s">
        <v>11</v>
      </c>
      <c r="G264" s="1">
        <v>2</v>
      </c>
      <c r="H264" s="1">
        <v>51565.57</v>
      </c>
      <c r="I264" s="1">
        <v>0.05</v>
      </c>
      <c r="J264" s="1">
        <v>11710.56</v>
      </c>
      <c r="K264" s="1" t="s">
        <v>10</v>
      </c>
    </row>
    <row r="265" spans="1:11" ht="15" customHeight="1" x14ac:dyDescent="0.25">
      <c r="A265" s="1">
        <v>10264</v>
      </c>
      <c r="B265" s="2">
        <v>45979</v>
      </c>
      <c r="C265" s="1" t="s">
        <v>22</v>
      </c>
      <c r="D265" s="1" t="s">
        <v>40</v>
      </c>
      <c r="E265" s="1" t="s">
        <v>10</v>
      </c>
      <c r="F265" s="1" t="s">
        <v>11</v>
      </c>
      <c r="G265" s="1">
        <v>3</v>
      </c>
      <c r="H265" s="1">
        <v>25267.98</v>
      </c>
      <c r="I265" s="1">
        <v>0</v>
      </c>
      <c r="J265" s="1">
        <v>4461.18</v>
      </c>
      <c r="K265" s="1" t="s">
        <v>10</v>
      </c>
    </row>
    <row r="266" spans="1:11" ht="15" customHeight="1" x14ac:dyDescent="0.25">
      <c r="A266" s="1">
        <v>10265</v>
      </c>
      <c r="B266" s="2">
        <v>45877</v>
      </c>
      <c r="C266" s="1" t="s">
        <v>18</v>
      </c>
      <c r="D266" s="1" t="s">
        <v>36</v>
      </c>
      <c r="E266" s="1" t="s">
        <v>10</v>
      </c>
      <c r="F266" s="1" t="s">
        <v>11</v>
      </c>
      <c r="G266" s="1">
        <v>7</v>
      </c>
      <c r="H266" s="1">
        <v>4715.63</v>
      </c>
      <c r="I266" s="1">
        <v>0.25</v>
      </c>
      <c r="J266" s="1">
        <v>4318.45</v>
      </c>
      <c r="K266" s="1" t="s">
        <v>10</v>
      </c>
    </row>
    <row r="267" spans="1:11" ht="15" customHeight="1" x14ac:dyDescent="0.25">
      <c r="A267" s="1">
        <v>10266</v>
      </c>
      <c r="B267" s="2">
        <v>45732</v>
      </c>
      <c r="C267" s="1" t="s">
        <v>19</v>
      </c>
      <c r="D267" s="1" t="s">
        <v>38</v>
      </c>
      <c r="E267" s="1" t="s">
        <v>10</v>
      </c>
      <c r="F267" s="1" t="s">
        <v>12</v>
      </c>
      <c r="G267" s="1">
        <v>1</v>
      </c>
      <c r="H267" s="1">
        <v>28357.119999999999</v>
      </c>
      <c r="I267" s="1">
        <v>0.05</v>
      </c>
      <c r="J267" s="1">
        <v>4161.8900000000003</v>
      </c>
      <c r="K267" s="1" t="s">
        <v>10</v>
      </c>
    </row>
    <row r="268" spans="1:11" ht="15" customHeight="1" x14ac:dyDescent="0.25">
      <c r="A268" s="1">
        <v>10267</v>
      </c>
      <c r="B268" s="2">
        <v>45661</v>
      </c>
      <c r="C268" s="1" t="s">
        <v>25</v>
      </c>
      <c r="D268" s="1" t="s">
        <v>34</v>
      </c>
      <c r="E268" s="1" t="s">
        <v>10</v>
      </c>
      <c r="F268" s="1" t="s">
        <v>9</v>
      </c>
      <c r="G268" s="1">
        <v>7</v>
      </c>
      <c r="H268" s="1">
        <v>70861.42</v>
      </c>
      <c r="I268" s="1">
        <v>0.25</v>
      </c>
      <c r="J268" s="1">
        <v>6270.5</v>
      </c>
      <c r="K268" s="1" t="s">
        <v>10</v>
      </c>
    </row>
    <row r="269" spans="1:11" ht="15" customHeight="1" x14ac:dyDescent="0.25">
      <c r="A269" s="1">
        <v>10268</v>
      </c>
      <c r="B269" s="2">
        <v>45992</v>
      </c>
      <c r="C269" s="1" t="s">
        <v>23</v>
      </c>
      <c r="D269" s="1" t="s">
        <v>37</v>
      </c>
      <c r="E269" s="1" t="s">
        <v>8</v>
      </c>
      <c r="F269" s="1" t="s">
        <v>12</v>
      </c>
      <c r="G269" s="1">
        <v>2</v>
      </c>
      <c r="H269" s="1">
        <v>48309.21</v>
      </c>
      <c r="I269" s="1">
        <v>0</v>
      </c>
      <c r="J269" s="1">
        <v>5315.95</v>
      </c>
      <c r="K269" s="1" t="s">
        <v>8</v>
      </c>
    </row>
    <row r="270" spans="1:11" ht="15" customHeight="1" x14ac:dyDescent="0.25">
      <c r="A270" s="1">
        <v>10269</v>
      </c>
      <c r="B270" s="2">
        <v>45791</v>
      </c>
      <c r="C270" s="1" t="s">
        <v>25</v>
      </c>
      <c r="D270" s="1" t="s">
        <v>33</v>
      </c>
      <c r="E270" s="1" t="s">
        <v>8</v>
      </c>
      <c r="F270" s="1" t="s">
        <v>9</v>
      </c>
      <c r="G270" s="1">
        <v>7</v>
      </c>
      <c r="H270" s="1">
        <v>50525.2</v>
      </c>
      <c r="I270" s="1">
        <v>0</v>
      </c>
      <c r="J270" s="1">
        <v>10564.98</v>
      </c>
      <c r="K270" s="1" t="s">
        <v>8</v>
      </c>
    </row>
    <row r="271" spans="1:11" ht="15" customHeight="1" x14ac:dyDescent="0.25">
      <c r="A271" s="1">
        <v>10270</v>
      </c>
      <c r="B271" s="2">
        <v>45775</v>
      </c>
      <c r="C271" s="1" t="s">
        <v>22</v>
      </c>
      <c r="D271" s="1" t="s">
        <v>36</v>
      </c>
      <c r="E271" s="1" t="s">
        <v>10</v>
      </c>
      <c r="F271" s="1" t="s">
        <v>12</v>
      </c>
      <c r="G271" s="1">
        <v>5</v>
      </c>
      <c r="H271" s="1">
        <v>47605.02</v>
      </c>
      <c r="I271" s="1">
        <v>0.25</v>
      </c>
      <c r="J271" s="1">
        <v>6090.97</v>
      </c>
      <c r="K271" s="1" t="s">
        <v>10</v>
      </c>
    </row>
    <row r="272" spans="1:11" ht="15" customHeight="1" x14ac:dyDescent="0.25">
      <c r="A272" s="1">
        <v>10271</v>
      </c>
      <c r="B272" s="2">
        <v>45751</v>
      </c>
      <c r="C272" s="1" t="s">
        <v>25</v>
      </c>
      <c r="D272" s="1" t="s">
        <v>39</v>
      </c>
      <c r="E272" s="1" t="s">
        <v>10</v>
      </c>
      <c r="F272" s="1" t="s">
        <v>12</v>
      </c>
      <c r="G272" s="1">
        <v>1</v>
      </c>
      <c r="H272" s="1">
        <v>15324.91</v>
      </c>
      <c r="I272" s="1">
        <v>0.1</v>
      </c>
      <c r="J272" s="1">
        <v>6117.71</v>
      </c>
      <c r="K272" s="1" t="s">
        <v>10</v>
      </c>
    </row>
    <row r="273" spans="1:11" ht="15" customHeight="1" x14ac:dyDescent="0.25">
      <c r="A273" s="1">
        <v>10272</v>
      </c>
      <c r="B273" s="2">
        <v>45719</v>
      </c>
      <c r="C273" s="1" t="s">
        <v>22</v>
      </c>
      <c r="D273" s="1" t="s">
        <v>37</v>
      </c>
      <c r="E273" s="1" t="s">
        <v>8</v>
      </c>
      <c r="F273" s="1" t="s">
        <v>11</v>
      </c>
      <c r="G273" s="1">
        <v>2</v>
      </c>
      <c r="H273" s="1">
        <v>31665.87</v>
      </c>
      <c r="I273" s="1">
        <v>0.15</v>
      </c>
      <c r="J273" s="1">
        <v>1703.54</v>
      </c>
      <c r="K273" s="1" t="s">
        <v>8</v>
      </c>
    </row>
    <row r="274" spans="1:11" ht="15" customHeight="1" x14ac:dyDescent="0.25">
      <c r="A274" s="1">
        <v>10273</v>
      </c>
      <c r="B274" s="2">
        <v>45851</v>
      </c>
      <c r="C274" s="1" t="s">
        <v>23</v>
      </c>
      <c r="D274" s="1" t="s">
        <v>37</v>
      </c>
      <c r="E274" s="1" t="s">
        <v>8</v>
      </c>
      <c r="F274" s="1" t="s">
        <v>13</v>
      </c>
      <c r="G274" s="1">
        <v>2</v>
      </c>
      <c r="H274" s="1">
        <v>56445.01</v>
      </c>
      <c r="I274" s="1">
        <v>0.05</v>
      </c>
      <c r="J274" s="1">
        <v>11793.74</v>
      </c>
      <c r="K274" s="1" t="s">
        <v>8</v>
      </c>
    </row>
    <row r="275" spans="1:11" ht="15" customHeight="1" x14ac:dyDescent="0.25">
      <c r="A275" s="1">
        <v>10274</v>
      </c>
      <c r="B275" s="2">
        <v>45992</v>
      </c>
      <c r="C275" s="1" t="s">
        <v>21</v>
      </c>
      <c r="D275" s="1" t="s">
        <v>37</v>
      </c>
      <c r="E275" s="1" t="s">
        <v>8</v>
      </c>
      <c r="F275" s="1" t="s">
        <v>13</v>
      </c>
      <c r="G275" s="1">
        <v>3</v>
      </c>
      <c r="H275" s="1">
        <v>8052.28</v>
      </c>
      <c r="I275" s="1">
        <v>0.05</v>
      </c>
      <c r="J275" s="1">
        <v>3037.18</v>
      </c>
      <c r="K275" s="1" t="s">
        <v>8</v>
      </c>
    </row>
    <row r="276" spans="1:11" ht="15" customHeight="1" x14ac:dyDescent="0.25">
      <c r="A276" s="1">
        <v>10275</v>
      </c>
      <c r="B276" s="2">
        <v>45860</v>
      </c>
      <c r="C276" s="1" t="s">
        <v>19</v>
      </c>
      <c r="D276" s="1" t="s">
        <v>40</v>
      </c>
      <c r="E276" s="1" t="s">
        <v>10</v>
      </c>
      <c r="F276" s="1" t="s">
        <v>9</v>
      </c>
      <c r="G276" s="1">
        <v>3</v>
      </c>
      <c r="H276" s="1">
        <v>21200.03</v>
      </c>
      <c r="I276" s="1">
        <v>0.1</v>
      </c>
      <c r="J276" s="1">
        <v>926.7</v>
      </c>
      <c r="K276" s="1" t="s">
        <v>10</v>
      </c>
    </row>
    <row r="277" spans="1:11" ht="15" customHeight="1" x14ac:dyDescent="0.25">
      <c r="A277" s="1">
        <v>10276</v>
      </c>
      <c r="B277" s="2">
        <v>45683</v>
      </c>
      <c r="C277" s="1" t="s">
        <v>20</v>
      </c>
      <c r="D277" s="1" t="s">
        <v>34</v>
      </c>
      <c r="E277" s="1" t="s">
        <v>10</v>
      </c>
      <c r="F277" s="1" t="s">
        <v>13</v>
      </c>
      <c r="G277" s="1">
        <v>5</v>
      </c>
      <c r="H277" s="1">
        <v>21085.77</v>
      </c>
      <c r="I277" s="1">
        <v>0.1</v>
      </c>
      <c r="J277" s="1">
        <v>7974.6</v>
      </c>
      <c r="K277" s="1" t="s">
        <v>10</v>
      </c>
    </row>
    <row r="278" spans="1:11" ht="15" customHeight="1" x14ac:dyDescent="0.25">
      <c r="A278" s="1">
        <v>10277</v>
      </c>
      <c r="B278" s="2">
        <v>45830</v>
      </c>
      <c r="C278" s="1" t="s">
        <v>18</v>
      </c>
      <c r="D278" s="1" t="s">
        <v>40</v>
      </c>
      <c r="E278" s="1" t="s">
        <v>10</v>
      </c>
      <c r="F278" s="1" t="s">
        <v>12</v>
      </c>
      <c r="G278" s="1">
        <v>2</v>
      </c>
      <c r="H278" s="1">
        <v>32685.41</v>
      </c>
      <c r="I278" s="1">
        <v>0.1</v>
      </c>
      <c r="J278" s="1">
        <v>7164.63</v>
      </c>
      <c r="K278" s="1" t="s">
        <v>10</v>
      </c>
    </row>
    <row r="279" spans="1:11" ht="15" customHeight="1" x14ac:dyDescent="0.25">
      <c r="A279" s="1">
        <v>10278</v>
      </c>
      <c r="B279" s="2">
        <v>45957</v>
      </c>
      <c r="C279" s="1" t="s">
        <v>20</v>
      </c>
      <c r="D279" s="1" t="s">
        <v>39</v>
      </c>
      <c r="E279" s="1" t="s">
        <v>10</v>
      </c>
      <c r="F279" s="1" t="s">
        <v>12</v>
      </c>
      <c r="G279" s="1">
        <v>6</v>
      </c>
      <c r="H279" s="1">
        <v>73537.47</v>
      </c>
      <c r="I279" s="1">
        <v>0.2</v>
      </c>
      <c r="J279" s="1">
        <v>5010.99</v>
      </c>
      <c r="K279" s="1" t="s">
        <v>10</v>
      </c>
    </row>
    <row r="280" spans="1:11" ht="15" customHeight="1" x14ac:dyDescent="0.25">
      <c r="A280" s="1">
        <v>10279</v>
      </c>
      <c r="B280" s="2">
        <v>45790</v>
      </c>
      <c r="C280" s="1" t="s">
        <v>21</v>
      </c>
      <c r="D280" s="1" t="s">
        <v>40</v>
      </c>
      <c r="E280" s="1" t="s">
        <v>10</v>
      </c>
      <c r="F280" s="1" t="s">
        <v>11</v>
      </c>
      <c r="G280" s="1">
        <v>2</v>
      </c>
      <c r="H280" s="1">
        <v>5528.94</v>
      </c>
      <c r="I280" s="1">
        <v>0.2</v>
      </c>
      <c r="J280" s="1">
        <v>5095.2</v>
      </c>
      <c r="K280" s="1" t="s">
        <v>10</v>
      </c>
    </row>
    <row r="281" spans="1:11" ht="15" customHeight="1" x14ac:dyDescent="0.25">
      <c r="A281" s="1">
        <v>10280</v>
      </c>
      <c r="B281" s="2">
        <v>45983</v>
      </c>
      <c r="C281" s="1" t="s">
        <v>18</v>
      </c>
      <c r="D281" s="1" t="s">
        <v>38</v>
      </c>
      <c r="E281" s="1" t="s">
        <v>10</v>
      </c>
      <c r="F281" s="1" t="s">
        <v>11</v>
      </c>
      <c r="G281" s="1">
        <v>3</v>
      </c>
      <c r="H281" s="1">
        <v>39143.22</v>
      </c>
      <c r="I281" s="1">
        <v>0.25</v>
      </c>
      <c r="J281" s="1">
        <v>9431.51</v>
      </c>
      <c r="K281" s="1" t="s">
        <v>10</v>
      </c>
    </row>
    <row r="282" spans="1:11" ht="15" customHeight="1" x14ac:dyDescent="0.25">
      <c r="A282" s="1">
        <v>10281</v>
      </c>
      <c r="B282" s="2">
        <v>45775</v>
      </c>
      <c r="C282" s="1" t="s">
        <v>25</v>
      </c>
      <c r="D282" s="1" t="s">
        <v>34</v>
      </c>
      <c r="E282" s="1" t="s">
        <v>10</v>
      </c>
      <c r="F282" s="1" t="s">
        <v>13</v>
      </c>
      <c r="G282" s="1">
        <v>6</v>
      </c>
      <c r="H282" s="1">
        <v>13862.67</v>
      </c>
      <c r="I282" s="1">
        <v>0.2</v>
      </c>
      <c r="J282" s="1">
        <v>2388.77</v>
      </c>
      <c r="K282" s="1" t="s">
        <v>10</v>
      </c>
    </row>
    <row r="283" spans="1:11" ht="15" customHeight="1" x14ac:dyDescent="0.25">
      <c r="A283" s="1">
        <v>10282</v>
      </c>
      <c r="B283" s="2">
        <v>45981</v>
      </c>
      <c r="C283" s="1" t="s">
        <v>23</v>
      </c>
      <c r="D283" s="1" t="s">
        <v>34</v>
      </c>
      <c r="E283" s="1" t="s">
        <v>10</v>
      </c>
      <c r="F283" s="1" t="s">
        <v>9</v>
      </c>
      <c r="G283" s="1">
        <v>1</v>
      </c>
      <c r="H283" s="1">
        <v>72815.399999999994</v>
      </c>
      <c r="I283" s="1">
        <v>0</v>
      </c>
      <c r="J283" s="1">
        <v>9852.0300000000007</v>
      </c>
      <c r="K283" s="1" t="s">
        <v>10</v>
      </c>
    </row>
    <row r="284" spans="1:11" ht="15" customHeight="1" x14ac:dyDescent="0.25">
      <c r="A284" s="1">
        <v>10283</v>
      </c>
      <c r="B284" s="2">
        <v>45932</v>
      </c>
      <c r="C284" s="1" t="s">
        <v>23</v>
      </c>
      <c r="D284" s="1" t="s">
        <v>39</v>
      </c>
      <c r="E284" s="1" t="s">
        <v>10</v>
      </c>
      <c r="F284" s="1" t="s">
        <v>13</v>
      </c>
      <c r="G284" s="1">
        <v>1</v>
      </c>
      <c r="H284" s="1">
        <v>8941.11</v>
      </c>
      <c r="I284" s="1">
        <v>0.25</v>
      </c>
      <c r="J284" s="1">
        <v>7802.53</v>
      </c>
      <c r="K284" s="1" t="s">
        <v>10</v>
      </c>
    </row>
    <row r="285" spans="1:11" ht="15" customHeight="1" x14ac:dyDescent="0.25">
      <c r="A285" s="1">
        <v>10284</v>
      </c>
      <c r="B285" s="2">
        <v>45869</v>
      </c>
      <c r="C285" s="1" t="s">
        <v>17</v>
      </c>
      <c r="D285" s="1" t="s">
        <v>33</v>
      </c>
      <c r="E285" s="1" t="s">
        <v>8</v>
      </c>
      <c r="F285" s="1" t="s">
        <v>13</v>
      </c>
      <c r="G285" s="1">
        <v>7</v>
      </c>
      <c r="H285" s="1">
        <v>30568.27</v>
      </c>
      <c r="I285" s="1">
        <v>0.05</v>
      </c>
      <c r="J285" s="1">
        <v>5056.6899999999996</v>
      </c>
      <c r="K285" s="1" t="s">
        <v>8</v>
      </c>
    </row>
    <row r="286" spans="1:11" ht="15" customHeight="1" x14ac:dyDescent="0.25">
      <c r="A286" s="1">
        <v>10285</v>
      </c>
      <c r="B286" s="2">
        <v>45882</v>
      </c>
      <c r="C286" s="1" t="s">
        <v>21</v>
      </c>
      <c r="D286" s="1" t="s">
        <v>38</v>
      </c>
      <c r="E286" s="1" t="s">
        <v>10</v>
      </c>
      <c r="F286" s="1" t="s">
        <v>13</v>
      </c>
      <c r="G286" s="1">
        <v>4</v>
      </c>
      <c r="H286" s="1">
        <v>55472.43</v>
      </c>
      <c r="I286" s="1">
        <v>0.15</v>
      </c>
      <c r="J286" s="1">
        <v>5523.44</v>
      </c>
      <c r="K286" s="1" t="s">
        <v>10</v>
      </c>
    </row>
    <row r="287" spans="1:11" ht="15" customHeight="1" x14ac:dyDescent="0.25">
      <c r="A287" s="1">
        <v>10286</v>
      </c>
      <c r="B287" s="2">
        <v>45677</v>
      </c>
      <c r="C287" s="1" t="s">
        <v>21</v>
      </c>
      <c r="D287" s="1" t="s">
        <v>36</v>
      </c>
      <c r="E287" s="1" t="s">
        <v>10</v>
      </c>
      <c r="F287" s="1" t="s">
        <v>13</v>
      </c>
      <c r="G287" s="1">
        <v>3</v>
      </c>
      <c r="H287" s="1">
        <v>52989.3</v>
      </c>
      <c r="I287" s="1">
        <v>0</v>
      </c>
      <c r="J287" s="1">
        <v>3116.93</v>
      </c>
      <c r="K287" s="1" t="s">
        <v>10</v>
      </c>
    </row>
    <row r="288" spans="1:11" ht="15" customHeight="1" x14ac:dyDescent="0.25">
      <c r="A288" s="1">
        <v>10287</v>
      </c>
      <c r="B288" s="2">
        <v>45770</v>
      </c>
      <c r="C288" s="1" t="s">
        <v>19</v>
      </c>
      <c r="D288" s="1" t="s">
        <v>40</v>
      </c>
      <c r="E288" s="1" t="s">
        <v>10</v>
      </c>
      <c r="F288" s="1" t="s">
        <v>12</v>
      </c>
      <c r="G288" s="1">
        <v>4</v>
      </c>
      <c r="H288" s="1">
        <v>31993.279999999999</v>
      </c>
      <c r="I288" s="1">
        <v>0.05</v>
      </c>
      <c r="J288" s="1">
        <v>9037.77</v>
      </c>
      <c r="K288" s="1" t="s">
        <v>10</v>
      </c>
    </row>
    <row r="289" spans="1:11" ht="15" customHeight="1" x14ac:dyDescent="0.25">
      <c r="A289" s="1">
        <v>10288</v>
      </c>
      <c r="B289" s="2">
        <v>45797</v>
      </c>
      <c r="C289" s="1" t="s">
        <v>20</v>
      </c>
      <c r="D289" s="1" t="s">
        <v>35</v>
      </c>
      <c r="E289" s="1" t="s">
        <v>10</v>
      </c>
      <c r="F289" s="1" t="s">
        <v>9</v>
      </c>
      <c r="G289" s="1">
        <v>6</v>
      </c>
      <c r="H289" s="1">
        <v>26316.05</v>
      </c>
      <c r="I289" s="1">
        <v>0.05</v>
      </c>
      <c r="J289" s="1">
        <v>6178.85</v>
      </c>
      <c r="K289" s="1" t="s">
        <v>10</v>
      </c>
    </row>
    <row r="290" spans="1:11" ht="15" customHeight="1" x14ac:dyDescent="0.25">
      <c r="A290" s="1">
        <v>10289</v>
      </c>
      <c r="B290" s="2">
        <v>45704</v>
      </c>
      <c r="C290" s="1" t="s">
        <v>21</v>
      </c>
      <c r="D290" s="1" t="s">
        <v>40</v>
      </c>
      <c r="E290" s="1" t="s">
        <v>10</v>
      </c>
      <c r="F290" s="1" t="s">
        <v>12</v>
      </c>
      <c r="G290" s="1">
        <v>3</v>
      </c>
      <c r="H290" s="1">
        <v>30122.12</v>
      </c>
      <c r="I290" s="1">
        <v>0.25</v>
      </c>
      <c r="J290" s="1">
        <v>3884.21</v>
      </c>
      <c r="K290" s="1" t="s">
        <v>10</v>
      </c>
    </row>
    <row r="291" spans="1:11" ht="15" customHeight="1" x14ac:dyDescent="0.25">
      <c r="A291" s="1">
        <v>10290</v>
      </c>
      <c r="B291" s="2">
        <v>45658</v>
      </c>
      <c r="C291" s="1" t="s">
        <v>21</v>
      </c>
      <c r="D291" s="1" t="s">
        <v>37</v>
      </c>
      <c r="E291" s="1" t="s">
        <v>8</v>
      </c>
      <c r="F291" s="1" t="s">
        <v>9</v>
      </c>
      <c r="G291" s="1">
        <v>5</v>
      </c>
      <c r="H291" s="1">
        <v>20188.580000000002</v>
      </c>
      <c r="I291" s="1">
        <v>0.1</v>
      </c>
      <c r="J291" s="1">
        <v>7172.8</v>
      </c>
      <c r="K291" s="1" t="s">
        <v>8</v>
      </c>
    </row>
    <row r="292" spans="1:11" ht="15" customHeight="1" x14ac:dyDescent="0.25">
      <c r="A292" s="1">
        <v>10291</v>
      </c>
      <c r="B292" s="2">
        <v>45747</v>
      </c>
      <c r="C292" s="1" t="s">
        <v>25</v>
      </c>
      <c r="D292" s="1" t="s">
        <v>40</v>
      </c>
      <c r="E292" s="1" t="s">
        <v>10</v>
      </c>
      <c r="F292" s="1" t="s">
        <v>11</v>
      </c>
      <c r="G292" s="1">
        <v>2</v>
      </c>
      <c r="H292" s="1">
        <v>15797.3</v>
      </c>
      <c r="I292" s="1">
        <v>0.1</v>
      </c>
      <c r="J292" s="1">
        <v>11949.03</v>
      </c>
      <c r="K292" s="1" t="s">
        <v>10</v>
      </c>
    </row>
    <row r="293" spans="1:11" ht="15" customHeight="1" x14ac:dyDescent="0.25">
      <c r="A293" s="1">
        <v>10292</v>
      </c>
      <c r="B293" s="2">
        <v>45799</v>
      </c>
      <c r="C293" s="1" t="s">
        <v>25</v>
      </c>
      <c r="D293" s="1" t="s">
        <v>36</v>
      </c>
      <c r="E293" s="1" t="s">
        <v>10</v>
      </c>
      <c r="F293" s="1" t="s">
        <v>13</v>
      </c>
      <c r="G293" s="1">
        <v>5</v>
      </c>
      <c r="H293" s="1">
        <v>36486.46</v>
      </c>
      <c r="I293" s="1">
        <v>0</v>
      </c>
      <c r="J293" s="1">
        <v>5251.38</v>
      </c>
      <c r="K293" s="1" t="s">
        <v>10</v>
      </c>
    </row>
    <row r="294" spans="1:11" ht="15" customHeight="1" x14ac:dyDescent="0.25">
      <c r="A294" s="1">
        <v>10293</v>
      </c>
      <c r="B294" s="2">
        <v>45977</v>
      </c>
      <c r="C294" s="1" t="s">
        <v>18</v>
      </c>
      <c r="D294" s="1" t="s">
        <v>40</v>
      </c>
      <c r="E294" s="1" t="s">
        <v>10</v>
      </c>
      <c r="F294" s="1" t="s">
        <v>12</v>
      </c>
      <c r="G294" s="1">
        <v>6</v>
      </c>
      <c r="H294" s="1">
        <v>20505.759999999998</v>
      </c>
      <c r="I294" s="1">
        <v>0.1</v>
      </c>
      <c r="J294" s="1">
        <v>11052.26</v>
      </c>
      <c r="K294" s="1" t="s">
        <v>10</v>
      </c>
    </row>
    <row r="295" spans="1:11" ht="15" customHeight="1" x14ac:dyDescent="0.25">
      <c r="A295" s="1">
        <v>10294</v>
      </c>
      <c r="B295" s="2">
        <v>45695</v>
      </c>
      <c r="C295" s="1" t="s">
        <v>22</v>
      </c>
      <c r="D295" s="1" t="s">
        <v>38</v>
      </c>
      <c r="E295" s="1" t="s">
        <v>10</v>
      </c>
      <c r="F295" s="1" t="s">
        <v>9</v>
      </c>
      <c r="G295" s="1">
        <v>3</v>
      </c>
      <c r="H295" s="1">
        <v>21915.89</v>
      </c>
      <c r="I295" s="1">
        <v>0.05</v>
      </c>
      <c r="J295" s="1">
        <v>4172.95</v>
      </c>
      <c r="K295" s="1" t="s">
        <v>10</v>
      </c>
    </row>
    <row r="296" spans="1:11" ht="15" customHeight="1" x14ac:dyDescent="0.25">
      <c r="A296" s="1">
        <v>10295</v>
      </c>
      <c r="B296" s="2">
        <v>45950</v>
      </c>
      <c r="C296" s="1" t="s">
        <v>22</v>
      </c>
      <c r="D296" s="1" t="s">
        <v>38</v>
      </c>
      <c r="E296" s="1" t="s">
        <v>10</v>
      </c>
      <c r="F296" s="1" t="s">
        <v>11</v>
      </c>
      <c r="G296" s="1">
        <v>6</v>
      </c>
      <c r="H296" s="1">
        <v>49428.33</v>
      </c>
      <c r="I296" s="1">
        <v>0.1</v>
      </c>
      <c r="J296" s="1">
        <v>704.06</v>
      </c>
      <c r="K296" s="1" t="s">
        <v>10</v>
      </c>
    </row>
    <row r="297" spans="1:11" ht="15" customHeight="1" x14ac:dyDescent="0.25">
      <c r="A297" s="1">
        <v>10296</v>
      </c>
      <c r="B297" s="2">
        <v>45796</v>
      </c>
      <c r="C297" s="1" t="s">
        <v>17</v>
      </c>
      <c r="D297" s="1" t="s">
        <v>34</v>
      </c>
      <c r="E297" s="1" t="s">
        <v>10</v>
      </c>
      <c r="F297" s="1" t="s">
        <v>11</v>
      </c>
      <c r="G297" s="1">
        <v>2</v>
      </c>
      <c r="H297" s="1">
        <v>72656.03</v>
      </c>
      <c r="I297" s="1">
        <v>0.2</v>
      </c>
      <c r="J297" s="1">
        <v>2490.69</v>
      </c>
      <c r="K297" s="1" t="s">
        <v>10</v>
      </c>
    </row>
    <row r="298" spans="1:11" ht="15" customHeight="1" x14ac:dyDescent="0.25">
      <c r="A298" s="1">
        <v>10297</v>
      </c>
      <c r="B298" s="2">
        <v>46013</v>
      </c>
      <c r="C298" s="1" t="s">
        <v>22</v>
      </c>
      <c r="D298" s="1" t="s">
        <v>39</v>
      </c>
      <c r="E298" s="1" t="s">
        <v>10</v>
      </c>
      <c r="F298" s="1" t="s">
        <v>13</v>
      </c>
      <c r="G298" s="1">
        <v>1</v>
      </c>
      <c r="H298" s="1">
        <v>45470.97</v>
      </c>
      <c r="I298" s="1">
        <v>0.1</v>
      </c>
      <c r="J298" s="1">
        <v>5053.41</v>
      </c>
      <c r="K298" s="1" t="s">
        <v>10</v>
      </c>
    </row>
    <row r="299" spans="1:11" ht="15" customHeight="1" x14ac:dyDescent="0.25">
      <c r="A299" s="1">
        <v>10298</v>
      </c>
      <c r="B299" s="2">
        <v>45990</v>
      </c>
      <c r="C299" s="1" t="s">
        <v>19</v>
      </c>
      <c r="D299" s="1" t="s">
        <v>33</v>
      </c>
      <c r="E299" s="1" t="s">
        <v>8</v>
      </c>
      <c r="F299" s="1" t="s">
        <v>9</v>
      </c>
      <c r="G299" s="1">
        <v>1</v>
      </c>
      <c r="H299" s="1">
        <v>6234.97</v>
      </c>
      <c r="I299" s="1">
        <v>0.05</v>
      </c>
      <c r="J299" s="1">
        <v>2674.64</v>
      </c>
      <c r="K299" s="1" t="s">
        <v>8</v>
      </c>
    </row>
    <row r="300" spans="1:11" ht="15" customHeight="1" x14ac:dyDescent="0.25">
      <c r="A300" s="1">
        <v>10299</v>
      </c>
      <c r="B300" s="2">
        <v>45916</v>
      </c>
      <c r="C300" s="1" t="s">
        <v>17</v>
      </c>
      <c r="D300" s="1" t="s">
        <v>35</v>
      </c>
      <c r="E300" s="1" t="s">
        <v>10</v>
      </c>
      <c r="F300" s="1" t="s">
        <v>12</v>
      </c>
      <c r="G300" s="1">
        <v>6</v>
      </c>
      <c r="H300" s="1">
        <v>6130.98</v>
      </c>
      <c r="I300" s="1">
        <v>0.25</v>
      </c>
      <c r="J300" s="1">
        <v>52.71</v>
      </c>
      <c r="K300" s="1" t="s">
        <v>10</v>
      </c>
    </row>
    <row r="301" spans="1:11" ht="15" customHeight="1" x14ac:dyDescent="0.25">
      <c r="A301" s="1">
        <v>10300</v>
      </c>
      <c r="B301" s="2">
        <v>45818</v>
      </c>
      <c r="C301" s="1" t="s">
        <v>18</v>
      </c>
      <c r="D301" s="1" t="s">
        <v>37</v>
      </c>
      <c r="E301" s="1" t="s">
        <v>8</v>
      </c>
      <c r="F301" s="1" t="s">
        <v>13</v>
      </c>
      <c r="G301" s="1">
        <v>4</v>
      </c>
      <c r="H301" s="1">
        <v>71381.03</v>
      </c>
      <c r="I301" s="1">
        <v>0</v>
      </c>
      <c r="J301" s="1">
        <v>10984.27</v>
      </c>
      <c r="K301" s="1" t="s">
        <v>8</v>
      </c>
    </row>
    <row r="302" spans="1:11" ht="15" customHeight="1" x14ac:dyDescent="0.25">
      <c r="A302" s="1">
        <v>10301</v>
      </c>
      <c r="B302" s="2">
        <v>45835</v>
      </c>
      <c r="C302" s="1" t="s">
        <v>25</v>
      </c>
      <c r="D302" s="1" t="s">
        <v>40</v>
      </c>
      <c r="E302" s="1" t="s">
        <v>10</v>
      </c>
      <c r="F302" s="1" t="s">
        <v>12</v>
      </c>
      <c r="G302" s="1">
        <v>3</v>
      </c>
      <c r="H302" s="1">
        <v>22648.16</v>
      </c>
      <c r="I302" s="1">
        <v>0.15</v>
      </c>
      <c r="J302" s="1">
        <v>10134.36</v>
      </c>
      <c r="K302" s="1" t="s">
        <v>10</v>
      </c>
    </row>
    <row r="303" spans="1:11" ht="15" customHeight="1" x14ac:dyDescent="0.25">
      <c r="A303" s="1">
        <v>10302</v>
      </c>
      <c r="B303" s="2">
        <v>45667</v>
      </c>
      <c r="C303" s="1" t="s">
        <v>22</v>
      </c>
      <c r="D303" s="1" t="s">
        <v>40</v>
      </c>
      <c r="E303" s="1" t="s">
        <v>10</v>
      </c>
      <c r="F303" s="1" t="s">
        <v>11</v>
      </c>
      <c r="G303" s="1">
        <v>3</v>
      </c>
      <c r="H303" s="1">
        <v>7358.99</v>
      </c>
      <c r="I303" s="1">
        <v>0.1</v>
      </c>
      <c r="J303" s="1">
        <v>8920.39</v>
      </c>
      <c r="K303" s="1" t="s">
        <v>10</v>
      </c>
    </row>
    <row r="304" spans="1:11" ht="15" customHeight="1" x14ac:dyDescent="0.25">
      <c r="A304" s="1">
        <v>10303</v>
      </c>
      <c r="B304" s="2">
        <v>45918</v>
      </c>
      <c r="C304" s="1" t="s">
        <v>24</v>
      </c>
      <c r="D304" s="1" t="s">
        <v>36</v>
      </c>
      <c r="E304" s="1" t="s">
        <v>10</v>
      </c>
      <c r="F304" s="1" t="s">
        <v>12</v>
      </c>
      <c r="G304" s="1">
        <v>1</v>
      </c>
      <c r="H304" s="1">
        <v>45128.82</v>
      </c>
      <c r="I304" s="1">
        <v>0.05</v>
      </c>
      <c r="J304" s="1">
        <v>2055.38</v>
      </c>
      <c r="K304" s="1" t="s">
        <v>10</v>
      </c>
    </row>
    <row r="305" spans="1:11" ht="15" customHeight="1" x14ac:dyDescent="0.25">
      <c r="A305" s="1">
        <v>10304</v>
      </c>
      <c r="B305" s="2">
        <v>45795</v>
      </c>
      <c r="C305" s="1" t="s">
        <v>25</v>
      </c>
      <c r="D305" s="1" t="s">
        <v>39</v>
      </c>
      <c r="E305" s="1" t="s">
        <v>10</v>
      </c>
      <c r="F305" s="1" t="s">
        <v>12</v>
      </c>
      <c r="G305" s="1">
        <v>7</v>
      </c>
      <c r="H305" s="1">
        <v>46961.83</v>
      </c>
      <c r="I305" s="1">
        <v>0.15</v>
      </c>
      <c r="J305" s="1">
        <v>1488.34</v>
      </c>
      <c r="K305" s="1" t="s">
        <v>10</v>
      </c>
    </row>
    <row r="306" spans="1:11" ht="15" customHeight="1" x14ac:dyDescent="0.25">
      <c r="A306" s="1">
        <v>10305</v>
      </c>
      <c r="B306" s="2">
        <v>45829</v>
      </c>
      <c r="C306" s="1" t="s">
        <v>23</v>
      </c>
      <c r="D306" s="1" t="s">
        <v>38</v>
      </c>
      <c r="E306" s="1" t="s">
        <v>10</v>
      </c>
      <c r="F306" s="1" t="s">
        <v>13</v>
      </c>
      <c r="G306" s="1">
        <v>5</v>
      </c>
      <c r="H306" s="1">
        <v>48813.61</v>
      </c>
      <c r="I306" s="1">
        <v>0.15</v>
      </c>
      <c r="J306" s="1">
        <v>857.88</v>
      </c>
      <c r="K306" s="1" t="s">
        <v>10</v>
      </c>
    </row>
    <row r="307" spans="1:11" ht="15" customHeight="1" x14ac:dyDescent="0.25">
      <c r="A307" s="1">
        <v>10306</v>
      </c>
      <c r="B307" s="2">
        <v>45670</v>
      </c>
      <c r="C307" s="1" t="s">
        <v>19</v>
      </c>
      <c r="D307" s="1" t="s">
        <v>35</v>
      </c>
      <c r="E307" s="1" t="s">
        <v>10</v>
      </c>
      <c r="F307" s="1" t="s">
        <v>12</v>
      </c>
      <c r="G307" s="1">
        <v>7</v>
      </c>
      <c r="H307" s="1">
        <v>20421.45</v>
      </c>
      <c r="I307" s="1">
        <v>0.2</v>
      </c>
      <c r="J307" s="1">
        <v>8702.15</v>
      </c>
      <c r="K307" s="1" t="s">
        <v>10</v>
      </c>
    </row>
    <row r="308" spans="1:11" ht="15" customHeight="1" x14ac:dyDescent="0.25">
      <c r="A308" s="1">
        <v>10307</v>
      </c>
      <c r="B308" s="2">
        <v>45825</v>
      </c>
      <c r="C308" s="1" t="s">
        <v>25</v>
      </c>
      <c r="D308" s="1" t="s">
        <v>34</v>
      </c>
      <c r="E308" s="1" t="s">
        <v>10</v>
      </c>
      <c r="F308" s="1" t="s">
        <v>13</v>
      </c>
      <c r="G308" s="1">
        <v>2</v>
      </c>
      <c r="H308" s="1">
        <v>1625.75</v>
      </c>
      <c r="I308" s="1">
        <v>0.15</v>
      </c>
      <c r="J308" s="1">
        <v>11149.26</v>
      </c>
      <c r="K308" s="1" t="s">
        <v>10</v>
      </c>
    </row>
    <row r="309" spans="1:11" ht="15" customHeight="1" x14ac:dyDescent="0.25">
      <c r="A309" s="1">
        <v>10308</v>
      </c>
      <c r="B309" s="2">
        <v>45787</v>
      </c>
      <c r="C309" s="1" t="s">
        <v>19</v>
      </c>
      <c r="D309" s="1" t="s">
        <v>38</v>
      </c>
      <c r="E309" s="1" t="s">
        <v>10</v>
      </c>
      <c r="F309" s="1" t="s">
        <v>11</v>
      </c>
      <c r="G309" s="1">
        <v>5</v>
      </c>
      <c r="H309" s="1">
        <v>72393.649999999994</v>
      </c>
      <c r="I309" s="1">
        <v>0.25</v>
      </c>
      <c r="J309" s="1">
        <v>5194.8999999999996</v>
      </c>
      <c r="K309" s="1" t="s">
        <v>10</v>
      </c>
    </row>
    <row r="310" spans="1:11" ht="15" customHeight="1" x14ac:dyDescent="0.25">
      <c r="A310" s="1">
        <v>10309</v>
      </c>
      <c r="B310" s="2">
        <v>45741</v>
      </c>
      <c r="C310" s="1" t="s">
        <v>19</v>
      </c>
      <c r="D310" s="1" t="s">
        <v>37</v>
      </c>
      <c r="E310" s="1" t="s">
        <v>8</v>
      </c>
      <c r="F310" s="1" t="s">
        <v>13</v>
      </c>
      <c r="G310" s="1">
        <v>5</v>
      </c>
      <c r="H310" s="1">
        <v>19191.53</v>
      </c>
      <c r="I310" s="1">
        <v>0.05</v>
      </c>
      <c r="J310" s="1">
        <v>1473.73</v>
      </c>
      <c r="K310" s="1" t="s">
        <v>8</v>
      </c>
    </row>
    <row r="311" spans="1:11" ht="15" customHeight="1" x14ac:dyDescent="0.25">
      <c r="A311" s="1">
        <v>10310</v>
      </c>
      <c r="B311" s="2">
        <v>45978</v>
      </c>
      <c r="C311" s="1" t="s">
        <v>19</v>
      </c>
      <c r="D311" s="1" t="s">
        <v>39</v>
      </c>
      <c r="E311" s="1" t="s">
        <v>10</v>
      </c>
      <c r="F311" s="1" t="s">
        <v>13</v>
      </c>
      <c r="G311" s="1">
        <v>6</v>
      </c>
      <c r="H311" s="1">
        <v>50863.96</v>
      </c>
      <c r="I311" s="1">
        <v>0.05</v>
      </c>
      <c r="J311" s="1">
        <v>6173.09</v>
      </c>
      <c r="K311" s="1" t="s">
        <v>10</v>
      </c>
    </row>
    <row r="312" spans="1:11" ht="15" customHeight="1" x14ac:dyDescent="0.25">
      <c r="A312" s="1">
        <v>10311</v>
      </c>
      <c r="B312" s="2">
        <v>45976</v>
      </c>
      <c r="C312" s="1" t="s">
        <v>18</v>
      </c>
      <c r="D312" s="1" t="s">
        <v>37</v>
      </c>
      <c r="E312" s="1" t="s">
        <v>8</v>
      </c>
      <c r="F312" s="1" t="s">
        <v>9</v>
      </c>
      <c r="G312" s="1">
        <v>1</v>
      </c>
      <c r="H312" s="1">
        <v>53143.93</v>
      </c>
      <c r="I312" s="1">
        <v>0.1</v>
      </c>
      <c r="J312" s="1">
        <v>4218.54</v>
      </c>
      <c r="K312" s="1" t="s">
        <v>8</v>
      </c>
    </row>
    <row r="313" spans="1:11" ht="15" customHeight="1" x14ac:dyDescent="0.25">
      <c r="A313" s="1">
        <v>10312</v>
      </c>
      <c r="B313" s="2">
        <v>45758</v>
      </c>
      <c r="C313" s="1" t="s">
        <v>19</v>
      </c>
      <c r="D313" s="1" t="s">
        <v>33</v>
      </c>
      <c r="E313" s="1" t="s">
        <v>8</v>
      </c>
      <c r="F313" s="1" t="s">
        <v>12</v>
      </c>
      <c r="G313" s="1">
        <v>7</v>
      </c>
      <c r="H313" s="1">
        <v>45945.55</v>
      </c>
      <c r="I313" s="1">
        <v>0.1</v>
      </c>
      <c r="J313" s="1">
        <v>4529.16</v>
      </c>
      <c r="K313" s="1" t="s">
        <v>8</v>
      </c>
    </row>
    <row r="314" spans="1:11" ht="15" customHeight="1" x14ac:dyDescent="0.25">
      <c r="A314" s="1">
        <v>10313</v>
      </c>
      <c r="B314" s="2">
        <v>45986</v>
      </c>
      <c r="C314" s="1" t="s">
        <v>19</v>
      </c>
      <c r="D314" s="1" t="s">
        <v>34</v>
      </c>
      <c r="E314" s="1" t="s">
        <v>10</v>
      </c>
      <c r="F314" s="1" t="s">
        <v>11</v>
      </c>
      <c r="G314" s="1">
        <v>7</v>
      </c>
      <c r="H314" s="1">
        <v>23811.599999999999</v>
      </c>
      <c r="I314" s="1">
        <v>0.1</v>
      </c>
      <c r="J314" s="1">
        <v>7474.9</v>
      </c>
      <c r="K314" s="1" t="s">
        <v>10</v>
      </c>
    </row>
    <row r="315" spans="1:11" ht="15" customHeight="1" x14ac:dyDescent="0.25">
      <c r="A315" s="1">
        <v>10314</v>
      </c>
      <c r="B315" s="2">
        <v>45930</v>
      </c>
      <c r="C315" s="1" t="s">
        <v>23</v>
      </c>
      <c r="D315" s="1" t="s">
        <v>33</v>
      </c>
      <c r="E315" s="1" t="s">
        <v>8</v>
      </c>
      <c r="F315" s="1" t="s">
        <v>13</v>
      </c>
      <c r="G315" s="1">
        <v>1</v>
      </c>
      <c r="H315" s="1">
        <v>20696.669999999998</v>
      </c>
      <c r="I315" s="1">
        <v>0.25</v>
      </c>
      <c r="J315" s="1">
        <v>8638.68</v>
      </c>
      <c r="K315" s="1" t="s">
        <v>8</v>
      </c>
    </row>
    <row r="316" spans="1:11" ht="15" customHeight="1" x14ac:dyDescent="0.25">
      <c r="A316" s="1">
        <v>10315</v>
      </c>
      <c r="B316" s="2">
        <v>45922</v>
      </c>
      <c r="C316" s="1" t="s">
        <v>20</v>
      </c>
      <c r="D316" s="1" t="s">
        <v>36</v>
      </c>
      <c r="E316" s="1" t="s">
        <v>10</v>
      </c>
      <c r="F316" s="1" t="s">
        <v>11</v>
      </c>
      <c r="G316" s="1">
        <v>7</v>
      </c>
      <c r="H316" s="1">
        <v>45026.29</v>
      </c>
      <c r="I316" s="1">
        <v>0.15</v>
      </c>
      <c r="J316" s="1">
        <v>1371.71</v>
      </c>
      <c r="K316" s="1" t="s">
        <v>10</v>
      </c>
    </row>
    <row r="317" spans="1:11" ht="15" customHeight="1" x14ac:dyDescent="0.25">
      <c r="A317" s="1">
        <v>10316</v>
      </c>
      <c r="B317" s="2">
        <v>45695</v>
      </c>
      <c r="C317" s="1" t="s">
        <v>17</v>
      </c>
      <c r="D317" s="1" t="s">
        <v>37</v>
      </c>
      <c r="E317" s="1" t="s">
        <v>8</v>
      </c>
      <c r="F317" s="1" t="s">
        <v>9</v>
      </c>
      <c r="G317" s="1">
        <v>1</v>
      </c>
      <c r="H317" s="1">
        <v>65024.12</v>
      </c>
      <c r="I317" s="1">
        <v>0.15</v>
      </c>
      <c r="J317" s="1">
        <v>475.3</v>
      </c>
      <c r="K317" s="1" t="s">
        <v>8</v>
      </c>
    </row>
    <row r="318" spans="1:11" ht="15" customHeight="1" x14ac:dyDescent="0.25">
      <c r="A318" s="1">
        <v>10317</v>
      </c>
      <c r="B318" s="2">
        <v>45751</v>
      </c>
      <c r="C318" s="1" t="s">
        <v>21</v>
      </c>
      <c r="D318" s="1" t="s">
        <v>36</v>
      </c>
      <c r="E318" s="1" t="s">
        <v>10</v>
      </c>
      <c r="F318" s="1" t="s">
        <v>12</v>
      </c>
      <c r="G318" s="1">
        <v>6</v>
      </c>
      <c r="H318" s="1">
        <v>71031.66</v>
      </c>
      <c r="I318" s="1">
        <v>0.2</v>
      </c>
      <c r="J318" s="1">
        <v>11932.25</v>
      </c>
      <c r="K318" s="1" t="s">
        <v>10</v>
      </c>
    </row>
    <row r="319" spans="1:11" ht="15" customHeight="1" x14ac:dyDescent="0.25">
      <c r="A319" s="1">
        <v>10318</v>
      </c>
      <c r="B319" s="2">
        <v>45752</v>
      </c>
      <c r="C319" s="1" t="s">
        <v>23</v>
      </c>
      <c r="D319" s="1" t="s">
        <v>40</v>
      </c>
      <c r="E319" s="1" t="s">
        <v>10</v>
      </c>
      <c r="F319" s="1" t="s">
        <v>13</v>
      </c>
      <c r="G319" s="1">
        <v>4</v>
      </c>
      <c r="H319" s="1">
        <v>8389.98</v>
      </c>
      <c r="I319" s="1">
        <v>0.25</v>
      </c>
      <c r="J319" s="1">
        <v>2831.1</v>
      </c>
      <c r="K319" s="1" t="s">
        <v>10</v>
      </c>
    </row>
    <row r="320" spans="1:11" ht="15" customHeight="1" x14ac:dyDescent="0.25">
      <c r="A320" s="1">
        <v>10319</v>
      </c>
      <c r="B320" s="2">
        <v>45962</v>
      </c>
      <c r="C320" s="1" t="s">
        <v>17</v>
      </c>
      <c r="D320" s="1" t="s">
        <v>33</v>
      </c>
      <c r="E320" s="1" t="s">
        <v>8</v>
      </c>
      <c r="F320" s="1" t="s">
        <v>12</v>
      </c>
      <c r="G320" s="1">
        <v>5</v>
      </c>
      <c r="H320" s="1">
        <v>12034.73</v>
      </c>
      <c r="I320" s="1">
        <v>0.1</v>
      </c>
      <c r="J320" s="1">
        <v>693.27</v>
      </c>
      <c r="K320" s="1" t="s">
        <v>8</v>
      </c>
    </row>
    <row r="321" spans="1:11" ht="15" customHeight="1" x14ac:dyDescent="0.25">
      <c r="A321" s="1">
        <v>10320</v>
      </c>
      <c r="B321" s="2">
        <v>45726</v>
      </c>
      <c r="C321" s="1" t="s">
        <v>19</v>
      </c>
      <c r="D321" s="1" t="s">
        <v>39</v>
      </c>
      <c r="E321" s="1" t="s">
        <v>10</v>
      </c>
      <c r="F321" s="1" t="s">
        <v>9</v>
      </c>
      <c r="G321" s="1">
        <v>6</v>
      </c>
      <c r="H321" s="1">
        <v>70882.850000000006</v>
      </c>
      <c r="I321" s="1">
        <v>0</v>
      </c>
      <c r="J321" s="1">
        <v>2319.0100000000002</v>
      </c>
      <c r="K321" s="1" t="s">
        <v>10</v>
      </c>
    </row>
    <row r="322" spans="1:11" ht="15" customHeight="1" x14ac:dyDescent="0.25">
      <c r="A322" s="1">
        <v>10321</v>
      </c>
      <c r="B322" s="2">
        <v>45975</v>
      </c>
      <c r="C322" s="1" t="s">
        <v>20</v>
      </c>
      <c r="D322" s="1" t="s">
        <v>37</v>
      </c>
      <c r="E322" s="1" t="s">
        <v>8</v>
      </c>
      <c r="F322" s="1" t="s">
        <v>9</v>
      </c>
      <c r="G322" s="1">
        <v>3</v>
      </c>
      <c r="H322" s="1">
        <v>55371.87</v>
      </c>
      <c r="I322" s="1">
        <v>0.2</v>
      </c>
      <c r="J322" s="1">
        <v>515.54999999999995</v>
      </c>
      <c r="K322" s="1" t="s">
        <v>8</v>
      </c>
    </row>
    <row r="323" spans="1:11" ht="15" customHeight="1" x14ac:dyDescent="0.25">
      <c r="A323" s="1">
        <v>10322</v>
      </c>
      <c r="B323" s="2">
        <v>45893</v>
      </c>
      <c r="C323" s="1" t="s">
        <v>25</v>
      </c>
      <c r="D323" s="1" t="s">
        <v>35</v>
      </c>
      <c r="E323" s="1" t="s">
        <v>10</v>
      </c>
      <c r="F323" s="1" t="s">
        <v>11</v>
      </c>
      <c r="G323" s="1">
        <v>2</v>
      </c>
      <c r="H323" s="1">
        <v>66283.039999999994</v>
      </c>
      <c r="I323" s="1">
        <v>0</v>
      </c>
      <c r="J323" s="1">
        <v>4732.1400000000003</v>
      </c>
      <c r="K323" s="1" t="s">
        <v>10</v>
      </c>
    </row>
    <row r="324" spans="1:11" ht="15" customHeight="1" x14ac:dyDescent="0.25">
      <c r="A324" s="1">
        <v>10323</v>
      </c>
      <c r="B324" s="2">
        <v>45991</v>
      </c>
      <c r="C324" s="1" t="s">
        <v>20</v>
      </c>
      <c r="D324" s="1" t="s">
        <v>34</v>
      </c>
      <c r="E324" s="1" t="s">
        <v>10</v>
      </c>
      <c r="F324" s="1" t="s">
        <v>13</v>
      </c>
      <c r="G324" s="1">
        <v>4</v>
      </c>
      <c r="H324" s="1">
        <v>15596.13</v>
      </c>
      <c r="I324" s="1">
        <v>0.15</v>
      </c>
      <c r="J324" s="1">
        <v>9638.7000000000007</v>
      </c>
      <c r="K324" s="1" t="s">
        <v>10</v>
      </c>
    </row>
    <row r="325" spans="1:11" ht="15" customHeight="1" x14ac:dyDescent="0.25">
      <c r="A325" s="1">
        <v>10324</v>
      </c>
      <c r="B325" s="2">
        <v>45794</v>
      </c>
      <c r="C325" s="1" t="s">
        <v>23</v>
      </c>
      <c r="D325" s="1" t="s">
        <v>38</v>
      </c>
      <c r="E325" s="1" t="s">
        <v>10</v>
      </c>
      <c r="F325" s="1" t="s">
        <v>11</v>
      </c>
      <c r="G325" s="1">
        <v>3</v>
      </c>
      <c r="H325" s="1">
        <v>44275.15</v>
      </c>
      <c r="I325" s="1">
        <v>0.2</v>
      </c>
      <c r="J325" s="1">
        <v>4127.87</v>
      </c>
      <c r="K325" s="1" t="s">
        <v>10</v>
      </c>
    </row>
    <row r="326" spans="1:11" ht="15" customHeight="1" x14ac:dyDescent="0.25">
      <c r="A326" s="1">
        <v>10325</v>
      </c>
      <c r="B326" s="2">
        <v>45733</v>
      </c>
      <c r="C326" s="1" t="s">
        <v>19</v>
      </c>
      <c r="D326" s="1" t="s">
        <v>39</v>
      </c>
      <c r="E326" s="1" t="s">
        <v>10</v>
      </c>
      <c r="F326" s="1" t="s">
        <v>9</v>
      </c>
      <c r="G326" s="1">
        <v>5</v>
      </c>
      <c r="H326" s="1">
        <v>52734.9</v>
      </c>
      <c r="I326" s="1">
        <v>0.2</v>
      </c>
      <c r="J326" s="1">
        <v>5357.99</v>
      </c>
      <c r="K326" s="1" t="s">
        <v>10</v>
      </c>
    </row>
    <row r="327" spans="1:11" ht="15" customHeight="1" x14ac:dyDescent="0.25">
      <c r="A327" s="1">
        <v>10326</v>
      </c>
      <c r="B327" s="2">
        <v>45692</v>
      </c>
      <c r="C327" s="1" t="s">
        <v>20</v>
      </c>
      <c r="D327" s="1" t="s">
        <v>39</v>
      </c>
      <c r="E327" s="1" t="s">
        <v>10</v>
      </c>
      <c r="F327" s="1" t="s">
        <v>12</v>
      </c>
      <c r="G327" s="1">
        <v>7</v>
      </c>
      <c r="H327" s="1">
        <v>51168.34</v>
      </c>
      <c r="I327" s="1">
        <v>0.05</v>
      </c>
      <c r="J327" s="1">
        <v>8123.26</v>
      </c>
      <c r="K327" s="1" t="s">
        <v>10</v>
      </c>
    </row>
    <row r="328" spans="1:11" ht="15" customHeight="1" x14ac:dyDescent="0.25">
      <c r="A328" s="1">
        <v>10327</v>
      </c>
      <c r="B328" s="2">
        <v>45658</v>
      </c>
      <c r="C328" s="1" t="s">
        <v>22</v>
      </c>
      <c r="D328" s="1" t="s">
        <v>36</v>
      </c>
      <c r="E328" s="1" t="s">
        <v>10</v>
      </c>
      <c r="F328" s="1" t="s">
        <v>11</v>
      </c>
      <c r="G328" s="1">
        <v>1</v>
      </c>
      <c r="H328" s="1">
        <v>30907.3</v>
      </c>
      <c r="I328" s="1">
        <v>0.15</v>
      </c>
      <c r="J328" s="1">
        <v>6131.28</v>
      </c>
      <c r="K328" s="1" t="s">
        <v>10</v>
      </c>
    </row>
    <row r="329" spans="1:11" ht="15" customHeight="1" x14ac:dyDescent="0.25">
      <c r="A329" s="1">
        <v>10328</v>
      </c>
      <c r="B329" s="2">
        <v>45953</v>
      </c>
      <c r="C329" s="1" t="s">
        <v>20</v>
      </c>
      <c r="D329" s="1" t="s">
        <v>33</v>
      </c>
      <c r="E329" s="1" t="s">
        <v>8</v>
      </c>
      <c r="F329" s="1" t="s">
        <v>11</v>
      </c>
      <c r="G329" s="1">
        <v>5</v>
      </c>
      <c r="H329" s="1">
        <v>1646.92</v>
      </c>
      <c r="I329" s="1">
        <v>0.15</v>
      </c>
      <c r="J329" s="1">
        <v>10344.280000000001</v>
      </c>
      <c r="K329" s="1" t="s">
        <v>8</v>
      </c>
    </row>
    <row r="330" spans="1:11" ht="15" customHeight="1" x14ac:dyDescent="0.25">
      <c r="A330" s="1">
        <v>10329</v>
      </c>
      <c r="B330" s="2">
        <v>45977</v>
      </c>
      <c r="C330" s="1" t="s">
        <v>19</v>
      </c>
      <c r="D330" s="1" t="s">
        <v>37</v>
      </c>
      <c r="E330" s="1" t="s">
        <v>8</v>
      </c>
      <c r="F330" s="1" t="s">
        <v>12</v>
      </c>
      <c r="G330" s="1">
        <v>6</v>
      </c>
      <c r="H330" s="1">
        <v>43927.99</v>
      </c>
      <c r="I330" s="1">
        <v>0.25</v>
      </c>
      <c r="J330" s="1">
        <v>10399.129999999999</v>
      </c>
      <c r="K330" s="1" t="s">
        <v>8</v>
      </c>
    </row>
    <row r="331" spans="1:11" ht="15" customHeight="1" x14ac:dyDescent="0.25">
      <c r="A331" s="1">
        <v>10330</v>
      </c>
      <c r="B331" s="2">
        <v>45717</v>
      </c>
      <c r="C331" s="1" t="s">
        <v>18</v>
      </c>
      <c r="D331" s="1" t="s">
        <v>37</v>
      </c>
      <c r="E331" s="1" t="s">
        <v>8</v>
      </c>
      <c r="F331" s="1" t="s">
        <v>11</v>
      </c>
      <c r="G331" s="1">
        <v>2</v>
      </c>
      <c r="H331" s="1">
        <v>19356.060000000001</v>
      </c>
      <c r="I331" s="1">
        <v>0.2</v>
      </c>
      <c r="J331" s="1">
        <v>168.43</v>
      </c>
      <c r="K331" s="1" t="s">
        <v>8</v>
      </c>
    </row>
    <row r="332" spans="1:11" ht="15" customHeight="1" x14ac:dyDescent="0.25">
      <c r="A332" s="1">
        <v>10331</v>
      </c>
      <c r="B332" s="2">
        <v>45977</v>
      </c>
      <c r="C332" s="1" t="s">
        <v>22</v>
      </c>
      <c r="D332" s="1" t="s">
        <v>40</v>
      </c>
      <c r="E332" s="1" t="s">
        <v>10</v>
      </c>
      <c r="F332" s="1" t="s">
        <v>12</v>
      </c>
      <c r="G332" s="1">
        <v>6</v>
      </c>
      <c r="H332" s="1">
        <v>34043.94</v>
      </c>
      <c r="I332" s="1">
        <v>0.15</v>
      </c>
      <c r="J332" s="1">
        <v>9347.65</v>
      </c>
      <c r="K332" s="1" t="s">
        <v>10</v>
      </c>
    </row>
    <row r="333" spans="1:11" ht="15" customHeight="1" x14ac:dyDescent="0.25">
      <c r="A333" s="1">
        <v>10332</v>
      </c>
      <c r="B333" s="2">
        <v>46006</v>
      </c>
      <c r="C333" s="1" t="s">
        <v>20</v>
      </c>
      <c r="D333" s="1" t="s">
        <v>40</v>
      </c>
      <c r="E333" s="1" t="s">
        <v>10</v>
      </c>
      <c r="F333" s="1" t="s">
        <v>13</v>
      </c>
      <c r="G333" s="1">
        <v>4</v>
      </c>
      <c r="H333" s="1">
        <v>71839.789999999994</v>
      </c>
      <c r="I333" s="1">
        <v>0.2</v>
      </c>
      <c r="J333" s="1">
        <v>5555.77</v>
      </c>
      <c r="K333" s="1" t="s">
        <v>10</v>
      </c>
    </row>
    <row r="334" spans="1:11" ht="15" customHeight="1" x14ac:dyDescent="0.25">
      <c r="A334" s="1">
        <v>10333</v>
      </c>
      <c r="B334" s="2">
        <v>45985</v>
      </c>
      <c r="C334" s="1" t="s">
        <v>21</v>
      </c>
      <c r="D334" s="1" t="s">
        <v>34</v>
      </c>
      <c r="E334" s="1" t="s">
        <v>10</v>
      </c>
      <c r="F334" s="1" t="s">
        <v>12</v>
      </c>
      <c r="G334" s="1">
        <v>4</v>
      </c>
      <c r="H334" s="1">
        <v>30228.13</v>
      </c>
      <c r="I334" s="1">
        <v>0.25</v>
      </c>
      <c r="J334" s="1">
        <v>11866.64</v>
      </c>
      <c r="K334" s="1" t="s">
        <v>10</v>
      </c>
    </row>
    <row r="335" spans="1:11" ht="15" customHeight="1" x14ac:dyDescent="0.25">
      <c r="A335" s="1">
        <v>10334</v>
      </c>
      <c r="B335" s="2">
        <v>45924</v>
      </c>
      <c r="C335" s="1" t="s">
        <v>21</v>
      </c>
      <c r="D335" s="1" t="s">
        <v>36</v>
      </c>
      <c r="E335" s="1" t="s">
        <v>10</v>
      </c>
      <c r="F335" s="1" t="s">
        <v>13</v>
      </c>
      <c r="G335" s="1">
        <v>2</v>
      </c>
      <c r="H335" s="1">
        <v>63065.22</v>
      </c>
      <c r="I335" s="1">
        <v>0.25</v>
      </c>
      <c r="J335" s="1">
        <v>5824.62</v>
      </c>
      <c r="K335" s="1" t="s">
        <v>10</v>
      </c>
    </row>
    <row r="336" spans="1:11" ht="15" customHeight="1" x14ac:dyDescent="0.25">
      <c r="A336" s="1">
        <v>10335</v>
      </c>
      <c r="B336" s="2">
        <v>46018</v>
      </c>
      <c r="C336" s="1" t="s">
        <v>20</v>
      </c>
      <c r="D336" s="1" t="s">
        <v>39</v>
      </c>
      <c r="E336" s="1" t="s">
        <v>10</v>
      </c>
      <c r="F336" s="1" t="s">
        <v>12</v>
      </c>
      <c r="G336" s="1">
        <v>3</v>
      </c>
      <c r="H336" s="1">
        <v>14546.28</v>
      </c>
      <c r="I336" s="1">
        <v>0.05</v>
      </c>
      <c r="J336" s="1">
        <v>11843.41</v>
      </c>
      <c r="K336" s="1" t="s">
        <v>10</v>
      </c>
    </row>
    <row r="337" spans="1:11" ht="15" customHeight="1" x14ac:dyDescent="0.25">
      <c r="A337" s="1">
        <v>10336</v>
      </c>
      <c r="B337" s="2">
        <v>45886</v>
      </c>
      <c r="C337" s="1" t="s">
        <v>18</v>
      </c>
      <c r="D337" s="1" t="s">
        <v>37</v>
      </c>
      <c r="E337" s="1" t="s">
        <v>8</v>
      </c>
      <c r="F337" s="1" t="s">
        <v>9</v>
      </c>
      <c r="G337" s="1">
        <v>3</v>
      </c>
      <c r="H337" s="1">
        <v>50598.31</v>
      </c>
      <c r="I337" s="1">
        <v>0.2</v>
      </c>
      <c r="J337" s="1">
        <v>9067.1</v>
      </c>
      <c r="K337" s="1" t="s">
        <v>8</v>
      </c>
    </row>
    <row r="338" spans="1:11" ht="15" customHeight="1" x14ac:dyDescent="0.25">
      <c r="A338" s="1">
        <v>10337</v>
      </c>
      <c r="B338" s="2">
        <v>45927</v>
      </c>
      <c r="C338" s="1" t="s">
        <v>25</v>
      </c>
      <c r="D338" s="1" t="s">
        <v>35</v>
      </c>
      <c r="E338" s="1" t="s">
        <v>10</v>
      </c>
      <c r="F338" s="1" t="s">
        <v>9</v>
      </c>
      <c r="G338" s="1">
        <v>4</v>
      </c>
      <c r="H338" s="1">
        <v>73287.02</v>
      </c>
      <c r="I338" s="1">
        <v>0.15</v>
      </c>
      <c r="J338" s="1">
        <v>3020.83</v>
      </c>
      <c r="K338" s="1" t="s">
        <v>10</v>
      </c>
    </row>
    <row r="339" spans="1:11" ht="15" customHeight="1" x14ac:dyDescent="0.25">
      <c r="A339" s="1">
        <v>10338</v>
      </c>
      <c r="B339" s="2">
        <v>45973</v>
      </c>
      <c r="C339" s="1" t="s">
        <v>19</v>
      </c>
      <c r="D339" s="1" t="s">
        <v>36</v>
      </c>
      <c r="E339" s="1" t="s">
        <v>10</v>
      </c>
      <c r="F339" s="1" t="s">
        <v>13</v>
      </c>
      <c r="G339" s="1">
        <v>4</v>
      </c>
      <c r="H339" s="1">
        <v>8091.04</v>
      </c>
      <c r="I339" s="1">
        <v>0.15</v>
      </c>
      <c r="J339" s="1">
        <v>6483.82</v>
      </c>
      <c r="K339" s="1" t="s">
        <v>10</v>
      </c>
    </row>
    <row r="340" spans="1:11" ht="15" customHeight="1" x14ac:dyDescent="0.25">
      <c r="A340" s="1">
        <v>10339</v>
      </c>
      <c r="B340" s="2">
        <v>45943</v>
      </c>
      <c r="C340" s="1" t="s">
        <v>21</v>
      </c>
      <c r="D340" s="1" t="s">
        <v>34</v>
      </c>
      <c r="E340" s="1" t="s">
        <v>10</v>
      </c>
      <c r="F340" s="1" t="s">
        <v>13</v>
      </c>
      <c r="G340" s="1">
        <v>7</v>
      </c>
      <c r="H340" s="1">
        <v>1119.8399999999999</v>
      </c>
      <c r="I340" s="1">
        <v>0.2</v>
      </c>
      <c r="J340" s="1">
        <v>11906.02</v>
      </c>
      <c r="K340" s="1" t="s">
        <v>10</v>
      </c>
    </row>
    <row r="341" spans="1:11" ht="15" customHeight="1" x14ac:dyDescent="0.25">
      <c r="A341" s="1">
        <v>10340</v>
      </c>
      <c r="B341" s="2">
        <v>45948</v>
      </c>
      <c r="C341" s="1" t="s">
        <v>25</v>
      </c>
      <c r="D341" s="1" t="s">
        <v>34</v>
      </c>
      <c r="E341" s="1" t="s">
        <v>10</v>
      </c>
      <c r="F341" s="1" t="s">
        <v>9</v>
      </c>
      <c r="G341" s="1">
        <v>1</v>
      </c>
      <c r="H341" s="1">
        <v>32801.919999999998</v>
      </c>
      <c r="I341" s="1">
        <v>0.2</v>
      </c>
      <c r="J341" s="1">
        <v>10297.49</v>
      </c>
      <c r="K341" s="1" t="s">
        <v>10</v>
      </c>
    </row>
    <row r="342" spans="1:11" ht="15" customHeight="1" x14ac:dyDescent="0.25">
      <c r="A342" s="1">
        <v>10341</v>
      </c>
      <c r="B342" s="2">
        <v>45870</v>
      </c>
      <c r="C342" s="1" t="s">
        <v>20</v>
      </c>
      <c r="D342" s="1" t="s">
        <v>36</v>
      </c>
      <c r="E342" s="1" t="s">
        <v>10</v>
      </c>
      <c r="F342" s="1" t="s">
        <v>13</v>
      </c>
      <c r="G342" s="1">
        <v>7</v>
      </c>
      <c r="H342" s="1">
        <v>7400.6</v>
      </c>
      <c r="I342" s="1">
        <v>0.2</v>
      </c>
      <c r="J342" s="1">
        <v>1213.53</v>
      </c>
      <c r="K342" s="1" t="s">
        <v>10</v>
      </c>
    </row>
    <row r="343" spans="1:11" ht="15" customHeight="1" x14ac:dyDescent="0.25">
      <c r="A343" s="1">
        <v>10342</v>
      </c>
      <c r="B343" s="2">
        <v>45822</v>
      </c>
      <c r="C343" s="1" t="s">
        <v>23</v>
      </c>
      <c r="D343" s="1" t="s">
        <v>34</v>
      </c>
      <c r="E343" s="1" t="s">
        <v>10</v>
      </c>
      <c r="F343" s="1" t="s">
        <v>12</v>
      </c>
      <c r="G343" s="1">
        <v>7</v>
      </c>
      <c r="H343" s="1">
        <v>56254.63</v>
      </c>
      <c r="I343" s="1">
        <v>0.1</v>
      </c>
      <c r="J343" s="1">
        <v>8491.15</v>
      </c>
      <c r="K343" s="1" t="s">
        <v>10</v>
      </c>
    </row>
    <row r="344" spans="1:11" ht="15" customHeight="1" x14ac:dyDescent="0.25">
      <c r="A344" s="1">
        <v>10343</v>
      </c>
      <c r="B344" s="2">
        <v>45662</v>
      </c>
      <c r="C344" s="1" t="s">
        <v>25</v>
      </c>
      <c r="D344" s="1" t="s">
        <v>36</v>
      </c>
      <c r="E344" s="1" t="s">
        <v>10</v>
      </c>
      <c r="F344" s="1" t="s">
        <v>12</v>
      </c>
      <c r="G344" s="1">
        <v>3</v>
      </c>
      <c r="H344" s="1">
        <v>68633.88</v>
      </c>
      <c r="I344" s="1">
        <v>0.15</v>
      </c>
      <c r="J344" s="1">
        <v>4179.68</v>
      </c>
      <c r="K344" s="1" t="s">
        <v>10</v>
      </c>
    </row>
    <row r="345" spans="1:11" ht="15" customHeight="1" x14ac:dyDescent="0.25">
      <c r="A345" s="1">
        <v>10344</v>
      </c>
      <c r="B345" s="2">
        <v>45996</v>
      </c>
      <c r="C345" s="1" t="s">
        <v>22</v>
      </c>
      <c r="D345" s="1" t="s">
        <v>38</v>
      </c>
      <c r="E345" s="1" t="s">
        <v>10</v>
      </c>
      <c r="F345" s="1" t="s">
        <v>9</v>
      </c>
      <c r="G345" s="1">
        <v>2</v>
      </c>
      <c r="H345" s="1">
        <v>32834.559999999998</v>
      </c>
      <c r="I345" s="1">
        <v>0.25</v>
      </c>
      <c r="J345" s="1">
        <v>133.44</v>
      </c>
      <c r="K345" s="1" t="s">
        <v>10</v>
      </c>
    </row>
    <row r="346" spans="1:11" ht="15" customHeight="1" x14ac:dyDescent="0.25">
      <c r="A346" s="1">
        <v>10345</v>
      </c>
      <c r="B346" s="2">
        <v>45735</v>
      </c>
      <c r="C346" s="1" t="s">
        <v>17</v>
      </c>
      <c r="D346" s="1" t="s">
        <v>36</v>
      </c>
      <c r="E346" s="1" t="s">
        <v>10</v>
      </c>
      <c r="F346" s="1" t="s">
        <v>11</v>
      </c>
      <c r="G346" s="1">
        <v>3</v>
      </c>
      <c r="H346" s="1">
        <v>19774.02</v>
      </c>
      <c r="I346" s="1">
        <v>0.15</v>
      </c>
      <c r="J346" s="1">
        <v>4871.6000000000004</v>
      </c>
      <c r="K346" s="1" t="s">
        <v>10</v>
      </c>
    </row>
    <row r="347" spans="1:11" ht="15" customHeight="1" x14ac:dyDescent="0.25">
      <c r="A347" s="1">
        <v>10346</v>
      </c>
      <c r="B347" s="2">
        <v>45719</v>
      </c>
      <c r="C347" s="1" t="s">
        <v>21</v>
      </c>
      <c r="D347" s="1" t="s">
        <v>33</v>
      </c>
      <c r="E347" s="1" t="s">
        <v>8</v>
      </c>
      <c r="F347" s="1" t="s">
        <v>12</v>
      </c>
      <c r="G347" s="1">
        <v>1</v>
      </c>
      <c r="H347" s="1">
        <v>32863.050000000003</v>
      </c>
      <c r="I347" s="1">
        <v>0.1</v>
      </c>
      <c r="J347" s="1">
        <v>2855.32</v>
      </c>
      <c r="K347" s="1" t="s">
        <v>8</v>
      </c>
    </row>
    <row r="348" spans="1:11" ht="15" customHeight="1" x14ac:dyDescent="0.25">
      <c r="A348" s="1">
        <v>10347</v>
      </c>
      <c r="B348" s="2">
        <v>45789</v>
      </c>
      <c r="C348" s="1" t="s">
        <v>20</v>
      </c>
      <c r="D348" s="1" t="s">
        <v>36</v>
      </c>
      <c r="E348" s="1" t="s">
        <v>10</v>
      </c>
      <c r="F348" s="1" t="s">
        <v>13</v>
      </c>
      <c r="G348" s="1">
        <v>6</v>
      </c>
      <c r="H348" s="1">
        <v>54396.86</v>
      </c>
      <c r="I348" s="1">
        <v>0.2</v>
      </c>
      <c r="J348" s="1">
        <v>9835.49</v>
      </c>
      <c r="K348" s="1" t="s">
        <v>10</v>
      </c>
    </row>
    <row r="349" spans="1:11" ht="15" customHeight="1" x14ac:dyDescent="0.25">
      <c r="A349" s="1">
        <v>10348</v>
      </c>
      <c r="B349" s="2">
        <v>45746</v>
      </c>
      <c r="C349" s="1" t="s">
        <v>23</v>
      </c>
      <c r="D349" s="1" t="s">
        <v>34</v>
      </c>
      <c r="E349" s="1" t="s">
        <v>10</v>
      </c>
      <c r="F349" s="1" t="s">
        <v>11</v>
      </c>
      <c r="G349" s="1">
        <v>4</v>
      </c>
      <c r="H349" s="1">
        <v>1174.54</v>
      </c>
      <c r="I349" s="1">
        <v>0.05</v>
      </c>
      <c r="J349" s="1">
        <v>4081.1</v>
      </c>
      <c r="K349" s="1" t="s">
        <v>10</v>
      </c>
    </row>
    <row r="350" spans="1:11" ht="15" customHeight="1" x14ac:dyDescent="0.25">
      <c r="A350" s="1">
        <v>10349</v>
      </c>
      <c r="B350" s="2">
        <v>45894</v>
      </c>
      <c r="C350" s="1" t="s">
        <v>19</v>
      </c>
      <c r="D350" s="1" t="s">
        <v>37</v>
      </c>
      <c r="E350" s="1" t="s">
        <v>8</v>
      </c>
      <c r="F350" s="1" t="s">
        <v>11</v>
      </c>
      <c r="G350" s="1">
        <v>4</v>
      </c>
      <c r="H350" s="1">
        <v>44414.32</v>
      </c>
      <c r="I350" s="1">
        <v>0.2</v>
      </c>
      <c r="J350" s="1">
        <v>9938.91</v>
      </c>
      <c r="K350" s="1" t="s">
        <v>8</v>
      </c>
    </row>
    <row r="351" spans="1:11" ht="15" customHeight="1" x14ac:dyDescent="0.25">
      <c r="A351" s="1">
        <v>10350</v>
      </c>
      <c r="B351" s="2">
        <v>45699</v>
      </c>
      <c r="C351" s="1" t="s">
        <v>23</v>
      </c>
      <c r="D351" s="1" t="s">
        <v>33</v>
      </c>
      <c r="E351" s="1" t="s">
        <v>8</v>
      </c>
      <c r="F351" s="1" t="s">
        <v>12</v>
      </c>
      <c r="G351" s="1">
        <v>1</v>
      </c>
      <c r="H351" s="1">
        <v>46190.23</v>
      </c>
      <c r="I351" s="1">
        <v>0.2</v>
      </c>
      <c r="J351" s="1">
        <v>57.15</v>
      </c>
      <c r="K351" s="1" t="s">
        <v>8</v>
      </c>
    </row>
    <row r="352" spans="1:11" ht="15" customHeight="1" x14ac:dyDescent="0.25">
      <c r="A352" s="1">
        <v>10351</v>
      </c>
      <c r="B352" s="2">
        <v>45746</v>
      </c>
      <c r="C352" s="1" t="s">
        <v>18</v>
      </c>
      <c r="D352" s="1" t="s">
        <v>34</v>
      </c>
      <c r="E352" s="1" t="s">
        <v>10</v>
      </c>
      <c r="F352" s="1" t="s">
        <v>12</v>
      </c>
      <c r="G352" s="1">
        <v>7</v>
      </c>
      <c r="H352" s="1">
        <v>48007.77</v>
      </c>
      <c r="I352" s="1">
        <v>0.1</v>
      </c>
      <c r="J352" s="1">
        <v>3728.44</v>
      </c>
      <c r="K352" s="1" t="s">
        <v>10</v>
      </c>
    </row>
    <row r="353" spans="1:11" ht="15" customHeight="1" x14ac:dyDescent="0.25">
      <c r="A353" s="1">
        <v>10352</v>
      </c>
      <c r="B353" s="2">
        <v>45953</v>
      </c>
      <c r="C353" s="1" t="s">
        <v>22</v>
      </c>
      <c r="D353" s="1" t="s">
        <v>40</v>
      </c>
      <c r="E353" s="1" t="s">
        <v>10</v>
      </c>
      <c r="F353" s="1" t="s">
        <v>11</v>
      </c>
      <c r="G353" s="1">
        <v>2</v>
      </c>
      <c r="H353" s="1">
        <v>18530.64</v>
      </c>
      <c r="I353" s="1">
        <v>0.15</v>
      </c>
      <c r="J353" s="1">
        <v>2931.92</v>
      </c>
      <c r="K353" s="1" t="s">
        <v>10</v>
      </c>
    </row>
    <row r="354" spans="1:11" ht="15" customHeight="1" x14ac:dyDescent="0.25">
      <c r="A354" s="1">
        <v>10353</v>
      </c>
      <c r="B354" s="2">
        <v>45985</v>
      </c>
      <c r="C354" s="1" t="s">
        <v>20</v>
      </c>
      <c r="D354" s="1" t="s">
        <v>40</v>
      </c>
      <c r="E354" s="1" t="s">
        <v>10</v>
      </c>
      <c r="F354" s="1" t="s">
        <v>11</v>
      </c>
      <c r="G354" s="1">
        <v>4</v>
      </c>
      <c r="H354" s="1">
        <v>53696.93</v>
      </c>
      <c r="I354" s="1">
        <v>0.2</v>
      </c>
      <c r="J354" s="1">
        <v>2841.13</v>
      </c>
      <c r="K354" s="1" t="s">
        <v>10</v>
      </c>
    </row>
    <row r="355" spans="1:11" ht="15" customHeight="1" x14ac:dyDescent="0.25">
      <c r="A355" s="1">
        <v>10354</v>
      </c>
      <c r="B355" s="2">
        <v>45952</v>
      </c>
      <c r="C355" s="1" t="s">
        <v>19</v>
      </c>
      <c r="D355" s="1" t="s">
        <v>37</v>
      </c>
      <c r="E355" s="1" t="s">
        <v>8</v>
      </c>
      <c r="F355" s="1" t="s">
        <v>9</v>
      </c>
      <c r="G355" s="1">
        <v>5</v>
      </c>
      <c r="H355" s="1">
        <v>7308.67</v>
      </c>
      <c r="I355" s="1">
        <v>0.15</v>
      </c>
      <c r="J355" s="1">
        <v>864.83</v>
      </c>
      <c r="K355" s="1" t="s">
        <v>8</v>
      </c>
    </row>
    <row r="356" spans="1:11" ht="15" customHeight="1" x14ac:dyDescent="0.25">
      <c r="A356" s="1">
        <v>10355</v>
      </c>
      <c r="B356" s="2">
        <v>45761</v>
      </c>
      <c r="C356" s="1" t="s">
        <v>18</v>
      </c>
      <c r="D356" s="1" t="s">
        <v>37</v>
      </c>
      <c r="E356" s="1" t="s">
        <v>8</v>
      </c>
      <c r="F356" s="1" t="s">
        <v>13</v>
      </c>
      <c r="G356" s="1">
        <v>7</v>
      </c>
      <c r="H356" s="1">
        <v>15345.64</v>
      </c>
      <c r="I356" s="1">
        <v>0</v>
      </c>
      <c r="J356" s="1">
        <v>2286.14</v>
      </c>
      <c r="K356" s="1" t="s">
        <v>8</v>
      </c>
    </row>
    <row r="357" spans="1:11" ht="15" customHeight="1" x14ac:dyDescent="0.25">
      <c r="A357" s="1">
        <v>10356</v>
      </c>
      <c r="B357" s="2">
        <v>45671</v>
      </c>
      <c r="C357" s="1" t="s">
        <v>18</v>
      </c>
      <c r="D357" s="1" t="s">
        <v>33</v>
      </c>
      <c r="E357" s="1" t="s">
        <v>8</v>
      </c>
      <c r="F357" s="1" t="s">
        <v>9</v>
      </c>
      <c r="G357" s="1">
        <v>4</v>
      </c>
      <c r="H357" s="1">
        <v>65871.520000000004</v>
      </c>
      <c r="I357" s="1">
        <v>0.25</v>
      </c>
      <c r="J357" s="1">
        <v>6688.82</v>
      </c>
      <c r="K357" s="1" t="s">
        <v>8</v>
      </c>
    </row>
    <row r="358" spans="1:11" ht="15" customHeight="1" x14ac:dyDescent="0.25">
      <c r="A358" s="1">
        <v>10357</v>
      </c>
      <c r="B358" s="2">
        <v>45945</v>
      </c>
      <c r="C358" s="1" t="s">
        <v>20</v>
      </c>
      <c r="D358" s="1" t="s">
        <v>38</v>
      </c>
      <c r="E358" s="1" t="s">
        <v>10</v>
      </c>
      <c r="F358" s="1" t="s">
        <v>12</v>
      </c>
      <c r="G358" s="1">
        <v>5</v>
      </c>
      <c r="H358" s="1">
        <v>55534.87</v>
      </c>
      <c r="I358" s="1">
        <v>0.15</v>
      </c>
      <c r="J358" s="1">
        <v>3531.76</v>
      </c>
      <c r="K358" s="1" t="s">
        <v>10</v>
      </c>
    </row>
    <row r="359" spans="1:11" ht="15" customHeight="1" x14ac:dyDescent="0.25">
      <c r="A359" s="1">
        <v>10358</v>
      </c>
      <c r="B359" s="2">
        <v>45836</v>
      </c>
      <c r="C359" s="1" t="s">
        <v>22</v>
      </c>
      <c r="D359" s="1" t="s">
        <v>37</v>
      </c>
      <c r="E359" s="1" t="s">
        <v>8</v>
      </c>
      <c r="F359" s="1" t="s">
        <v>9</v>
      </c>
      <c r="G359" s="1">
        <v>1</v>
      </c>
      <c r="H359" s="1">
        <v>1524.04</v>
      </c>
      <c r="I359" s="1">
        <v>0.05</v>
      </c>
      <c r="J359" s="1">
        <v>5037.87</v>
      </c>
      <c r="K359" s="1" t="s">
        <v>8</v>
      </c>
    </row>
    <row r="360" spans="1:11" ht="15" customHeight="1" x14ac:dyDescent="0.25">
      <c r="A360" s="1">
        <v>10359</v>
      </c>
      <c r="B360" s="2">
        <v>45782</v>
      </c>
      <c r="C360" s="1" t="s">
        <v>25</v>
      </c>
      <c r="D360" s="1" t="s">
        <v>40</v>
      </c>
      <c r="E360" s="1" t="s">
        <v>10</v>
      </c>
      <c r="F360" s="1" t="s">
        <v>9</v>
      </c>
      <c r="G360" s="1">
        <v>1</v>
      </c>
      <c r="H360" s="1">
        <v>19004.03</v>
      </c>
      <c r="I360" s="1">
        <v>0.25</v>
      </c>
      <c r="J360" s="1">
        <v>4553.5600000000004</v>
      </c>
      <c r="K360" s="1" t="s">
        <v>10</v>
      </c>
    </row>
    <row r="361" spans="1:11" ht="15" customHeight="1" x14ac:dyDescent="0.25">
      <c r="A361" s="1">
        <v>10360</v>
      </c>
      <c r="B361" s="2">
        <v>46010</v>
      </c>
      <c r="C361" s="1" t="s">
        <v>25</v>
      </c>
      <c r="D361" s="1" t="s">
        <v>36</v>
      </c>
      <c r="E361" s="1" t="s">
        <v>10</v>
      </c>
      <c r="F361" s="1" t="s">
        <v>9</v>
      </c>
      <c r="G361" s="1">
        <v>7</v>
      </c>
      <c r="H361" s="1">
        <v>16473.28</v>
      </c>
      <c r="I361" s="1">
        <v>0.05</v>
      </c>
      <c r="J361" s="1">
        <v>10517.06</v>
      </c>
      <c r="K361" s="1" t="s">
        <v>10</v>
      </c>
    </row>
    <row r="362" spans="1:11" ht="15" customHeight="1" x14ac:dyDescent="0.25">
      <c r="A362" s="1">
        <v>10361</v>
      </c>
      <c r="B362" s="2">
        <v>45680</v>
      </c>
      <c r="C362" s="1" t="s">
        <v>18</v>
      </c>
      <c r="D362" s="1" t="s">
        <v>34</v>
      </c>
      <c r="E362" s="1" t="s">
        <v>10</v>
      </c>
      <c r="F362" s="1" t="s">
        <v>9</v>
      </c>
      <c r="G362" s="1">
        <v>4</v>
      </c>
      <c r="H362" s="1">
        <v>20675.07</v>
      </c>
      <c r="I362" s="1">
        <v>0.2</v>
      </c>
      <c r="J362" s="1">
        <v>10868.32</v>
      </c>
      <c r="K362" s="1" t="s">
        <v>10</v>
      </c>
    </row>
    <row r="363" spans="1:11" ht="15" customHeight="1" x14ac:dyDescent="0.25">
      <c r="A363" s="1">
        <v>10362</v>
      </c>
      <c r="B363" s="2">
        <v>45720</v>
      </c>
      <c r="C363" s="1" t="s">
        <v>25</v>
      </c>
      <c r="D363" s="1" t="s">
        <v>40</v>
      </c>
      <c r="E363" s="1" t="s">
        <v>10</v>
      </c>
      <c r="F363" s="1" t="s">
        <v>13</v>
      </c>
      <c r="G363" s="1">
        <v>3</v>
      </c>
      <c r="H363" s="1">
        <v>18943.2</v>
      </c>
      <c r="I363" s="1">
        <v>0.25</v>
      </c>
      <c r="J363" s="1">
        <v>5940.84</v>
      </c>
      <c r="K363" s="1" t="s">
        <v>10</v>
      </c>
    </row>
    <row r="364" spans="1:11" ht="15" customHeight="1" x14ac:dyDescent="0.25">
      <c r="A364" s="1">
        <v>10363</v>
      </c>
      <c r="B364" s="2">
        <v>45800</v>
      </c>
      <c r="C364" s="1" t="s">
        <v>17</v>
      </c>
      <c r="D364" s="1" t="s">
        <v>40</v>
      </c>
      <c r="E364" s="1" t="s">
        <v>10</v>
      </c>
      <c r="F364" s="1" t="s">
        <v>13</v>
      </c>
      <c r="G364" s="1">
        <v>5</v>
      </c>
      <c r="H364" s="1">
        <v>5158.21</v>
      </c>
      <c r="I364" s="1">
        <v>0.15</v>
      </c>
      <c r="J364" s="1">
        <v>3995.36</v>
      </c>
      <c r="K364" s="1" t="s">
        <v>10</v>
      </c>
    </row>
    <row r="365" spans="1:11" ht="15" customHeight="1" x14ac:dyDescent="0.25">
      <c r="A365" s="1">
        <v>10364</v>
      </c>
      <c r="B365" s="2">
        <v>45810</v>
      </c>
      <c r="C365" s="1" t="s">
        <v>18</v>
      </c>
      <c r="D365" s="1" t="s">
        <v>38</v>
      </c>
      <c r="E365" s="1" t="s">
        <v>10</v>
      </c>
      <c r="F365" s="1" t="s">
        <v>11</v>
      </c>
      <c r="G365" s="1">
        <v>2</v>
      </c>
      <c r="H365" s="1">
        <v>34691.07</v>
      </c>
      <c r="I365" s="1">
        <v>0.25</v>
      </c>
      <c r="J365" s="1">
        <v>1326.27</v>
      </c>
      <c r="K365" s="1" t="s">
        <v>10</v>
      </c>
    </row>
    <row r="366" spans="1:11" ht="15" customHeight="1" x14ac:dyDescent="0.25">
      <c r="A366" s="1">
        <v>10365</v>
      </c>
      <c r="B366" s="2">
        <v>45802</v>
      </c>
      <c r="C366" s="1" t="s">
        <v>18</v>
      </c>
      <c r="D366" s="1" t="s">
        <v>33</v>
      </c>
      <c r="E366" s="1" t="s">
        <v>8</v>
      </c>
      <c r="F366" s="1" t="s">
        <v>12</v>
      </c>
      <c r="G366" s="1">
        <v>4</v>
      </c>
      <c r="H366" s="1">
        <v>55088.639999999999</v>
      </c>
      <c r="I366" s="1">
        <v>0.2</v>
      </c>
      <c r="J366" s="1">
        <v>11443.16</v>
      </c>
      <c r="K366" s="1" t="s">
        <v>8</v>
      </c>
    </row>
    <row r="367" spans="1:11" ht="15" customHeight="1" x14ac:dyDescent="0.25">
      <c r="A367" s="1">
        <v>10366</v>
      </c>
      <c r="B367" s="2">
        <v>45882</v>
      </c>
      <c r="C367" s="1" t="s">
        <v>19</v>
      </c>
      <c r="D367" s="1" t="s">
        <v>33</v>
      </c>
      <c r="E367" s="1" t="s">
        <v>8</v>
      </c>
      <c r="F367" s="1" t="s">
        <v>9</v>
      </c>
      <c r="G367" s="1">
        <v>2</v>
      </c>
      <c r="H367" s="1">
        <v>45701.51</v>
      </c>
      <c r="I367" s="1">
        <v>0.1</v>
      </c>
      <c r="J367" s="1">
        <v>769.71</v>
      </c>
      <c r="K367" s="1" t="s">
        <v>8</v>
      </c>
    </row>
    <row r="368" spans="1:11" ht="15" customHeight="1" x14ac:dyDescent="0.25">
      <c r="A368" s="1">
        <v>10367</v>
      </c>
      <c r="B368" s="2">
        <v>45966</v>
      </c>
      <c r="C368" s="1" t="s">
        <v>25</v>
      </c>
      <c r="D368" s="1" t="s">
        <v>39</v>
      </c>
      <c r="E368" s="1" t="s">
        <v>10</v>
      </c>
      <c r="F368" s="1" t="s">
        <v>11</v>
      </c>
      <c r="G368" s="1">
        <v>4</v>
      </c>
      <c r="H368" s="1">
        <v>50628.94</v>
      </c>
      <c r="I368" s="1">
        <v>0.05</v>
      </c>
      <c r="J368" s="1">
        <v>3606.92</v>
      </c>
      <c r="K368" s="1" t="s">
        <v>10</v>
      </c>
    </row>
    <row r="369" spans="1:11" ht="15" customHeight="1" x14ac:dyDescent="0.25">
      <c r="A369" s="1">
        <v>10368</v>
      </c>
      <c r="B369" s="2">
        <v>45761</v>
      </c>
      <c r="C369" s="1" t="s">
        <v>22</v>
      </c>
      <c r="D369" s="1" t="s">
        <v>38</v>
      </c>
      <c r="E369" s="1" t="s">
        <v>10</v>
      </c>
      <c r="F369" s="1" t="s">
        <v>11</v>
      </c>
      <c r="G369" s="1">
        <v>3</v>
      </c>
      <c r="H369" s="1">
        <v>6545.61</v>
      </c>
      <c r="I369" s="1">
        <v>0.2</v>
      </c>
      <c r="J369" s="1">
        <v>3611.89</v>
      </c>
      <c r="K369" s="1" t="s">
        <v>10</v>
      </c>
    </row>
    <row r="370" spans="1:11" ht="15" customHeight="1" x14ac:dyDescent="0.25">
      <c r="A370" s="1">
        <v>10369</v>
      </c>
      <c r="B370" s="2">
        <v>45761</v>
      </c>
      <c r="C370" s="1" t="s">
        <v>18</v>
      </c>
      <c r="D370" s="1" t="s">
        <v>36</v>
      </c>
      <c r="E370" s="1" t="s">
        <v>10</v>
      </c>
      <c r="F370" s="1" t="s">
        <v>11</v>
      </c>
      <c r="G370" s="1">
        <v>3</v>
      </c>
      <c r="H370" s="1">
        <v>71386.06</v>
      </c>
      <c r="I370" s="1">
        <v>0.1</v>
      </c>
      <c r="J370" s="1">
        <v>3878.8</v>
      </c>
      <c r="K370" s="1" t="s">
        <v>10</v>
      </c>
    </row>
    <row r="371" spans="1:11" ht="15" customHeight="1" x14ac:dyDescent="0.25">
      <c r="A371" s="1">
        <v>10370</v>
      </c>
      <c r="B371" s="2">
        <v>45696</v>
      </c>
      <c r="C371" s="1" t="s">
        <v>23</v>
      </c>
      <c r="D371" s="1" t="s">
        <v>33</v>
      </c>
      <c r="E371" s="1" t="s">
        <v>8</v>
      </c>
      <c r="F371" s="1" t="s">
        <v>13</v>
      </c>
      <c r="G371" s="1">
        <v>7</v>
      </c>
      <c r="H371" s="1">
        <v>62967.64</v>
      </c>
      <c r="I371" s="1">
        <v>0.25</v>
      </c>
      <c r="J371" s="1">
        <v>2013.23</v>
      </c>
      <c r="K371" s="1" t="s">
        <v>8</v>
      </c>
    </row>
    <row r="372" spans="1:11" ht="15" customHeight="1" x14ac:dyDescent="0.25">
      <c r="A372" s="1">
        <v>10371</v>
      </c>
      <c r="B372" s="2">
        <v>45855</v>
      </c>
      <c r="C372" s="1" t="s">
        <v>22</v>
      </c>
      <c r="D372" s="1" t="s">
        <v>34</v>
      </c>
      <c r="E372" s="1" t="s">
        <v>10</v>
      </c>
      <c r="F372" s="1" t="s">
        <v>9</v>
      </c>
      <c r="G372" s="1">
        <v>7</v>
      </c>
      <c r="H372" s="1">
        <v>60479.23</v>
      </c>
      <c r="I372" s="1">
        <v>0.25</v>
      </c>
      <c r="J372" s="1">
        <v>9408.7800000000007</v>
      </c>
      <c r="K372" s="1" t="s">
        <v>10</v>
      </c>
    </row>
    <row r="373" spans="1:11" ht="15" customHeight="1" x14ac:dyDescent="0.25">
      <c r="A373" s="1">
        <v>10372</v>
      </c>
      <c r="B373" s="2">
        <v>45791</v>
      </c>
      <c r="C373" s="1" t="s">
        <v>17</v>
      </c>
      <c r="D373" s="1" t="s">
        <v>37</v>
      </c>
      <c r="E373" s="1" t="s">
        <v>8</v>
      </c>
      <c r="F373" s="1" t="s">
        <v>9</v>
      </c>
      <c r="G373" s="1">
        <v>3</v>
      </c>
      <c r="H373" s="1">
        <v>61812.29</v>
      </c>
      <c r="I373" s="1">
        <v>0.2</v>
      </c>
      <c r="J373" s="1">
        <v>1513.85</v>
      </c>
      <c r="K373" s="1" t="s">
        <v>8</v>
      </c>
    </row>
    <row r="374" spans="1:11" ht="15" customHeight="1" x14ac:dyDescent="0.25">
      <c r="A374" s="1">
        <v>10373</v>
      </c>
      <c r="B374" s="2">
        <v>45724</v>
      </c>
      <c r="C374" s="1" t="s">
        <v>19</v>
      </c>
      <c r="D374" s="1" t="s">
        <v>38</v>
      </c>
      <c r="E374" s="1" t="s">
        <v>10</v>
      </c>
      <c r="F374" s="1" t="s">
        <v>12</v>
      </c>
      <c r="G374" s="1">
        <v>6</v>
      </c>
      <c r="H374" s="1">
        <v>69986.929999999993</v>
      </c>
      <c r="I374" s="1">
        <v>0.15</v>
      </c>
      <c r="J374" s="1">
        <v>7637.13</v>
      </c>
      <c r="K374" s="1" t="s">
        <v>10</v>
      </c>
    </row>
    <row r="375" spans="1:11" ht="15" customHeight="1" x14ac:dyDescent="0.25">
      <c r="A375" s="1">
        <v>10374</v>
      </c>
      <c r="B375" s="2">
        <v>45836</v>
      </c>
      <c r="C375" s="1" t="s">
        <v>20</v>
      </c>
      <c r="D375" s="1" t="s">
        <v>37</v>
      </c>
      <c r="E375" s="1" t="s">
        <v>8</v>
      </c>
      <c r="F375" s="1" t="s">
        <v>9</v>
      </c>
      <c r="G375" s="1">
        <v>3</v>
      </c>
      <c r="H375" s="1">
        <v>41046.92</v>
      </c>
      <c r="I375" s="1">
        <v>0.25</v>
      </c>
      <c r="J375" s="1">
        <v>1529.96</v>
      </c>
      <c r="K375" s="1" t="s">
        <v>8</v>
      </c>
    </row>
    <row r="376" spans="1:11" ht="15" customHeight="1" x14ac:dyDescent="0.25">
      <c r="A376" s="1">
        <v>10375</v>
      </c>
      <c r="B376" s="2">
        <v>45699</v>
      </c>
      <c r="C376" s="1" t="s">
        <v>22</v>
      </c>
      <c r="D376" s="1" t="s">
        <v>40</v>
      </c>
      <c r="E376" s="1" t="s">
        <v>10</v>
      </c>
      <c r="F376" s="1" t="s">
        <v>9</v>
      </c>
      <c r="G376" s="1">
        <v>1</v>
      </c>
      <c r="H376" s="1">
        <v>15421.01</v>
      </c>
      <c r="I376" s="1">
        <v>0.15</v>
      </c>
      <c r="J376" s="1">
        <v>892.9</v>
      </c>
      <c r="K376" s="1" t="s">
        <v>10</v>
      </c>
    </row>
    <row r="377" spans="1:11" ht="15" customHeight="1" x14ac:dyDescent="0.25">
      <c r="A377" s="1">
        <v>10376</v>
      </c>
      <c r="B377" s="2">
        <v>45672</v>
      </c>
      <c r="C377" s="1" t="s">
        <v>18</v>
      </c>
      <c r="D377" s="1" t="s">
        <v>34</v>
      </c>
      <c r="E377" s="1" t="s">
        <v>10</v>
      </c>
      <c r="F377" s="1" t="s">
        <v>11</v>
      </c>
      <c r="G377" s="1">
        <v>1</v>
      </c>
      <c r="H377" s="1">
        <v>46450.38</v>
      </c>
      <c r="I377" s="1">
        <v>0.15</v>
      </c>
      <c r="J377" s="1">
        <v>10917.68</v>
      </c>
      <c r="K377" s="1" t="s">
        <v>10</v>
      </c>
    </row>
    <row r="378" spans="1:11" ht="15" customHeight="1" x14ac:dyDescent="0.25">
      <c r="A378" s="1">
        <v>10377</v>
      </c>
      <c r="B378" s="2">
        <v>45768</v>
      </c>
      <c r="C378" s="1" t="s">
        <v>17</v>
      </c>
      <c r="D378" s="1" t="s">
        <v>34</v>
      </c>
      <c r="E378" s="1" t="s">
        <v>10</v>
      </c>
      <c r="F378" s="1" t="s">
        <v>12</v>
      </c>
      <c r="G378" s="1">
        <v>6</v>
      </c>
      <c r="H378" s="1">
        <v>55844.67</v>
      </c>
      <c r="I378" s="1">
        <v>0.15</v>
      </c>
      <c r="J378" s="1">
        <v>2322.04</v>
      </c>
      <c r="K378" s="1" t="s">
        <v>10</v>
      </c>
    </row>
    <row r="379" spans="1:11" ht="15" customHeight="1" x14ac:dyDescent="0.25">
      <c r="A379" s="1">
        <v>10378</v>
      </c>
      <c r="B379" s="2">
        <v>45814</v>
      </c>
      <c r="C379" s="1" t="s">
        <v>21</v>
      </c>
      <c r="D379" s="1" t="s">
        <v>40</v>
      </c>
      <c r="E379" s="1" t="s">
        <v>10</v>
      </c>
      <c r="F379" s="1" t="s">
        <v>9</v>
      </c>
      <c r="G379" s="1">
        <v>5</v>
      </c>
      <c r="H379" s="1">
        <v>55474.85</v>
      </c>
      <c r="I379" s="1">
        <v>0</v>
      </c>
      <c r="J379" s="1">
        <v>9863.94</v>
      </c>
      <c r="K379" s="1" t="s">
        <v>10</v>
      </c>
    </row>
    <row r="380" spans="1:11" ht="15" customHeight="1" x14ac:dyDescent="0.25">
      <c r="A380" s="1">
        <v>10379</v>
      </c>
      <c r="B380" s="2">
        <v>45946</v>
      </c>
      <c r="C380" s="1" t="s">
        <v>17</v>
      </c>
      <c r="D380" s="1" t="s">
        <v>38</v>
      </c>
      <c r="E380" s="1" t="s">
        <v>10</v>
      </c>
      <c r="F380" s="1" t="s">
        <v>13</v>
      </c>
      <c r="G380" s="1">
        <v>2</v>
      </c>
      <c r="H380" s="1">
        <v>39347.949999999997</v>
      </c>
      <c r="I380" s="1">
        <v>0.1</v>
      </c>
      <c r="J380" s="1">
        <v>6558.34</v>
      </c>
      <c r="K380" s="1" t="s">
        <v>10</v>
      </c>
    </row>
    <row r="381" spans="1:11" ht="15" customHeight="1" x14ac:dyDescent="0.25">
      <c r="A381" s="1">
        <v>10380</v>
      </c>
      <c r="B381" s="2">
        <v>45888</v>
      </c>
      <c r="C381" s="1" t="s">
        <v>17</v>
      </c>
      <c r="D381" s="1" t="s">
        <v>40</v>
      </c>
      <c r="E381" s="1" t="s">
        <v>10</v>
      </c>
      <c r="F381" s="1" t="s">
        <v>9</v>
      </c>
      <c r="G381" s="1">
        <v>4</v>
      </c>
      <c r="H381" s="1">
        <v>5600.17</v>
      </c>
      <c r="I381" s="1">
        <v>0.1</v>
      </c>
      <c r="J381" s="1">
        <v>980.39</v>
      </c>
      <c r="K381" s="1" t="s">
        <v>10</v>
      </c>
    </row>
    <row r="382" spans="1:11" ht="15" customHeight="1" x14ac:dyDescent="0.25">
      <c r="A382" s="1">
        <v>10381</v>
      </c>
      <c r="B382" s="2">
        <v>45814</v>
      </c>
      <c r="C382" s="1" t="s">
        <v>19</v>
      </c>
      <c r="D382" s="1" t="s">
        <v>37</v>
      </c>
      <c r="E382" s="1" t="s">
        <v>8</v>
      </c>
      <c r="F382" s="1" t="s">
        <v>11</v>
      </c>
      <c r="G382" s="1">
        <v>4</v>
      </c>
      <c r="H382" s="1">
        <v>28147.91</v>
      </c>
      <c r="I382" s="1">
        <v>0.25</v>
      </c>
      <c r="J382" s="1">
        <v>11467.61</v>
      </c>
      <c r="K382" s="1" t="s">
        <v>8</v>
      </c>
    </row>
    <row r="383" spans="1:11" ht="15" customHeight="1" x14ac:dyDescent="0.25">
      <c r="A383" s="1">
        <v>10382</v>
      </c>
      <c r="B383" s="2">
        <v>45695</v>
      </c>
      <c r="C383" s="1" t="s">
        <v>20</v>
      </c>
      <c r="D383" s="1" t="s">
        <v>39</v>
      </c>
      <c r="E383" s="1" t="s">
        <v>10</v>
      </c>
      <c r="F383" s="1" t="s">
        <v>13</v>
      </c>
      <c r="G383" s="1">
        <v>6</v>
      </c>
      <c r="H383" s="1">
        <v>69097.11</v>
      </c>
      <c r="I383" s="1">
        <v>0.25</v>
      </c>
      <c r="J383" s="1">
        <v>3001.19</v>
      </c>
      <c r="K383" s="1" t="s">
        <v>10</v>
      </c>
    </row>
    <row r="384" spans="1:11" ht="15" customHeight="1" x14ac:dyDescent="0.25">
      <c r="A384" s="1">
        <v>10383</v>
      </c>
      <c r="B384" s="2">
        <v>45754</v>
      </c>
      <c r="C384" s="1" t="s">
        <v>21</v>
      </c>
      <c r="D384" s="1" t="s">
        <v>34</v>
      </c>
      <c r="E384" s="1" t="s">
        <v>10</v>
      </c>
      <c r="F384" s="1" t="s">
        <v>11</v>
      </c>
      <c r="G384" s="1">
        <v>1</v>
      </c>
      <c r="H384" s="1">
        <v>44041.440000000002</v>
      </c>
      <c r="I384" s="1">
        <v>0.15</v>
      </c>
      <c r="J384" s="1">
        <v>10322.76</v>
      </c>
      <c r="K384" s="1" t="s">
        <v>10</v>
      </c>
    </row>
    <row r="385" spans="1:11" ht="15" customHeight="1" x14ac:dyDescent="0.25">
      <c r="A385" s="1">
        <v>10384</v>
      </c>
      <c r="B385" s="2">
        <v>45946</v>
      </c>
      <c r="C385" s="1" t="s">
        <v>25</v>
      </c>
      <c r="D385" s="1" t="s">
        <v>35</v>
      </c>
      <c r="E385" s="1" t="s">
        <v>10</v>
      </c>
      <c r="F385" s="1" t="s">
        <v>9</v>
      </c>
      <c r="G385" s="1">
        <v>7</v>
      </c>
      <c r="H385" s="1">
        <v>40605.730000000003</v>
      </c>
      <c r="I385" s="1">
        <v>0</v>
      </c>
      <c r="J385" s="1">
        <v>2067.2800000000002</v>
      </c>
      <c r="K385" s="1" t="s">
        <v>10</v>
      </c>
    </row>
    <row r="386" spans="1:11" ht="15" customHeight="1" x14ac:dyDescent="0.25">
      <c r="A386" s="1">
        <v>10385</v>
      </c>
      <c r="B386" s="2">
        <v>45911</v>
      </c>
      <c r="C386" s="1" t="s">
        <v>25</v>
      </c>
      <c r="D386" s="1" t="s">
        <v>35</v>
      </c>
      <c r="E386" s="1" t="s">
        <v>10</v>
      </c>
      <c r="F386" s="1" t="s">
        <v>13</v>
      </c>
      <c r="G386" s="1">
        <v>4</v>
      </c>
      <c r="H386" s="1">
        <v>20529.59</v>
      </c>
      <c r="I386" s="1">
        <v>0.15</v>
      </c>
      <c r="J386" s="1">
        <v>10254.620000000001</v>
      </c>
      <c r="K386" s="1" t="s">
        <v>10</v>
      </c>
    </row>
    <row r="387" spans="1:11" ht="15" customHeight="1" x14ac:dyDescent="0.25">
      <c r="A387" s="1">
        <v>10386</v>
      </c>
      <c r="B387" s="2">
        <v>45853</v>
      </c>
      <c r="C387" s="1" t="s">
        <v>22</v>
      </c>
      <c r="D387" s="1" t="s">
        <v>37</v>
      </c>
      <c r="E387" s="1" t="s">
        <v>8</v>
      </c>
      <c r="F387" s="1" t="s">
        <v>12</v>
      </c>
      <c r="G387" s="1">
        <v>1</v>
      </c>
      <c r="H387" s="1">
        <v>27949.439999999999</v>
      </c>
      <c r="I387" s="1">
        <v>0</v>
      </c>
      <c r="J387" s="1">
        <v>208.08</v>
      </c>
      <c r="K387" s="1" t="s">
        <v>8</v>
      </c>
    </row>
    <row r="388" spans="1:11" ht="15" customHeight="1" x14ac:dyDescent="0.25">
      <c r="A388" s="1">
        <v>10387</v>
      </c>
      <c r="B388" s="2">
        <v>45743</v>
      </c>
      <c r="C388" s="1" t="s">
        <v>17</v>
      </c>
      <c r="D388" s="1" t="s">
        <v>36</v>
      </c>
      <c r="E388" s="1" t="s">
        <v>10</v>
      </c>
      <c r="F388" s="1" t="s">
        <v>12</v>
      </c>
      <c r="G388" s="1">
        <v>5</v>
      </c>
      <c r="H388" s="1">
        <v>67203.28</v>
      </c>
      <c r="I388" s="1">
        <v>0.15</v>
      </c>
      <c r="J388" s="1">
        <v>6165.78</v>
      </c>
      <c r="K388" s="1" t="s">
        <v>10</v>
      </c>
    </row>
    <row r="389" spans="1:11" ht="15" customHeight="1" x14ac:dyDescent="0.25">
      <c r="A389" s="1">
        <v>10388</v>
      </c>
      <c r="B389" s="2">
        <v>45979</v>
      </c>
      <c r="C389" s="1" t="s">
        <v>23</v>
      </c>
      <c r="D389" s="1" t="s">
        <v>33</v>
      </c>
      <c r="E389" s="1" t="s">
        <v>8</v>
      </c>
      <c r="F389" s="1" t="s">
        <v>13</v>
      </c>
      <c r="G389" s="1">
        <v>2</v>
      </c>
      <c r="H389" s="1">
        <v>50151.5</v>
      </c>
      <c r="I389" s="1">
        <v>0.05</v>
      </c>
      <c r="J389" s="1">
        <v>9244.84</v>
      </c>
      <c r="K389" s="1" t="s">
        <v>8</v>
      </c>
    </row>
    <row r="390" spans="1:11" ht="15" customHeight="1" x14ac:dyDescent="0.25">
      <c r="A390" s="1">
        <v>10389</v>
      </c>
      <c r="B390" s="2">
        <v>45667</v>
      </c>
      <c r="C390" s="1" t="s">
        <v>19</v>
      </c>
      <c r="D390" s="1" t="s">
        <v>40</v>
      </c>
      <c r="E390" s="1" t="s">
        <v>10</v>
      </c>
      <c r="F390" s="1" t="s">
        <v>13</v>
      </c>
      <c r="G390" s="1">
        <v>5</v>
      </c>
      <c r="H390" s="1">
        <v>59160.33</v>
      </c>
      <c r="I390" s="1">
        <v>0.05</v>
      </c>
      <c r="J390" s="1">
        <v>11220.81</v>
      </c>
      <c r="K390" s="1" t="s">
        <v>10</v>
      </c>
    </row>
    <row r="391" spans="1:11" ht="15" customHeight="1" x14ac:dyDescent="0.25">
      <c r="A391" s="1">
        <v>10390</v>
      </c>
      <c r="B391" s="2">
        <v>45662</v>
      </c>
      <c r="C391" s="1" t="s">
        <v>23</v>
      </c>
      <c r="D391" s="1" t="s">
        <v>40</v>
      </c>
      <c r="E391" s="1" t="s">
        <v>10</v>
      </c>
      <c r="F391" s="1" t="s">
        <v>11</v>
      </c>
      <c r="G391" s="1">
        <v>6</v>
      </c>
      <c r="H391" s="1">
        <v>34348.730000000003</v>
      </c>
      <c r="I391" s="1">
        <v>0.2</v>
      </c>
      <c r="J391" s="1">
        <v>10914.97</v>
      </c>
      <c r="K391" s="1" t="s">
        <v>10</v>
      </c>
    </row>
    <row r="392" spans="1:11" ht="15" customHeight="1" x14ac:dyDescent="0.25">
      <c r="A392" s="1">
        <v>10391</v>
      </c>
      <c r="B392" s="2">
        <v>45780</v>
      </c>
      <c r="C392" s="1" t="s">
        <v>19</v>
      </c>
      <c r="D392" s="1" t="s">
        <v>36</v>
      </c>
      <c r="E392" s="1" t="s">
        <v>10</v>
      </c>
      <c r="F392" s="1" t="s">
        <v>13</v>
      </c>
      <c r="G392" s="1">
        <v>3</v>
      </c>
      <c r="H392" s="1">
        <v>47453.42</v>
      </c>
      <c r="I392" s="1">
        <v>0.15</v>
      </c>
      <c r="J392" s="1">
        <v>9844.52</v>
      </c>
      <c r="K392" s="1" t="s">
        <v>10</v>
      </c>
    </row>
    <row r="393" spans="1:11" ht="15" customHeight="1" x14ac:dyDescent="0.25">
      <c r="A393" s="1">
        <v>10392</v>
      </c>
      <c r="B393" s="2">
        <v>45987</v>
      </c>
      <c r="C393" s="1" t="s">
        <v>25</v>
      </c>
      <c r="D393" s="1" t="s">
        <v>36</v>
      </c>
      <c r="E393" s="1" t="s">
        <v>10</v>
      </c>
      <c r="F393" s="1" t="s">
        <v>11</v>
      </c>
      <c r="G393" s="1">
        <v>3</v>
      </c>
      <c r="H393" s="1">
        <v>19004.580000000002</v>
      </c>
      <c r="I393" s="1">
        <v>0.25</v>
      </c>
      <c r="J393" s="1">
        <v>10663.89</v>
      </c>
      <c r="K393" s="1" t="s">
        <v>10</v>
      </c>
    </row>
    <row r="394" spans="1:11" ht="15" customHeight="1" x14ac:dyDescent="0.25">
      <c r="A394" s="1">
        <v>10393</v>
      </c>
      <c r="B394" s="2">
        <v>46010</v>
      </c>
      <c r="C394" s="1" t="s">
        <v>22</v>
      </c>
      <c r="D394" s="1" t="s">
        <v>37</v>
      </c>
      <c r="E394" s="1" t="s">
        <v>8</v>
      </c>
      <c r="F394" s="1" t="s">
        <v>9</v>
      </c>
      <c r="G394" s="1">
        <v>3</v>
      </c>
      <c r="H394" s="1">
        <v>53056.83</v>
      </c>
      <c r="I394" s="1">
        <v>0.1</v>
      </c>
      <c r="J394" s="1">
        <v>2430.6799999999998</v>
      </c>
      <c r="K394" s="1" t="s">
        <v>8</v>
      </c>
    </row>
    <row r="395" spans="1:11" ht="15" customHeight="1" x14ac:dyDescent="0.25">
      <c r="A395" s="1">
        <v>10394</v>
      </c>
      <c r="B395" s="2">
        <v>45775</v>
      </c>
      <c r="C395" s="1" t="s">
        <v>22</v>
      </c>
      <c r="D395" s="1" t="s">
        <v>37</v>
      </c>
      <c r="E395" s="1" t="s">
        <v>8</v>
      </c>
      <c r="F395" s="1" t="s">
        <v>11</v>
      </c>
      <c r="G395" s="1">
        <v>5</v>
      </c>
      <c r="H395" s="1">
        <v>32356.3</v>
      </c>
      <c r="I395" s="1">
        <v>0.2</v>
      </c>
      <c r="J395" s="1">
        <v>3446</v>
      </c>
      <c r="K395" s="1" t="s">
        <v>8</v>
      </c>
    </row>
    <row r="396" spans="1:11" ht="15" customHeight="1" x14ac:dyDescent="0.25">
      <c r="A396" s="1">
        <v>10395</v>
      </c>
      <c r="B396" s="2">
        <v>45951</v>
      </c>
      <c r="C396" s="1" t="s">
        <v>22</v>
      </c>
      <c r="D396" s="1" t="s">
        <v>36</v>
      </c>
      <c r="E396" s="1" t="s">
        <v>10</v>
      </c>
      <c r="F396" s="1" t="s">
        <v>13</v>
      </c>
      <c r="G396" s="1">
        <v>4</v>
      </c>
      <c r="H396" s="1">
        <v>33469.64</v>
      </c>
      <c r="I396" s="1">
        <v>0.25</v>
      </c>
      <c r="J396" s="1">
        <v>3503.17</v>
      </c>
      <c r="K396" s="1" t="s">
        <v>10</v>
      </c>
    </row>
    <row r="397" spans="1:11" ht="15" customHeight="1" x14ac:dyDescent="0.25">
      <c r="A397" s="1">
        <v>10396</v>
      </c>
      <c r="B397" s="2">
        <v>45816</v>
      </c>
      <c r="C397" s="1" t="s">
        <v>21</v>
      </c>
      <c r="D397" s="1" t="s">
        <v>34</v>
      </c>
      <c r="E397" s="1" t="s">
        <v>10</v>
      </c>
      <c r="F397" s="1" t="s">
        <v>13</v>
      </c>
      <c r="G397" s="1">
        <v>2</v>
      </c>
      <c r="H397" s="1">
        <v>48874.51</v>
      </c>
      <c r="I397" s="1">
        <v>0.05</v>
      </c>
      <c r="J397" s="1">
        <v>4555.79</v>
      </c>
      <c r="K397" s="1" t="s">
        <v>10</v>
      </c>
    </row>
    <row r="398" spans="1:11" ht="15" customHeight="1" x14ac:dyDescent="0.25">
      <c r="A398" s="1">
        <v>10397</v>
      </c>
      <c r="B398" s="2">
        <v>45960</v>
      </c>
      <c r="C398" s="1" t="s">
        <v>20</v>
      </c>
      <c r="D398" s="1" t="s">
        <v>37</v>
      </c>
      <c r="E398" s="1" t="s">
        <v>8</v>
      </c>
      <c r="F398" s="1" t="s">
        <v>9</v>
      </c>
      <c r="G398" s="1">
        <v>3</v>
      </c>
      <c r="H398" s="1">
        <v>70252.91</v>
      </c>
      <c r="I398" s="1">
        <v>0.15</v>
      </c>
      <c r="J398" s="1">
        <v>4750.18</v>
      </c>
      <c r="K398" s="1" t="s">
        <v>8</v>
      </c>
    </row>
    <row r="399" spans="1:11" ht="15" customHeight="1" x14ac:dyDescent="0.25">
      <c r="A399" s="1">
        <v>10398</v>
      </c>
      <c r="B399" s="2">
        <v>45885</v>
      </c>
      <c r="C399" s="1" t="s">
        <v>21</v>
      </c>
      <c r="D399" s="1" t="s">
        <v>39</v>
      </c>
      <c r="E399" s="1" t="s">
        <v>10</v>
      </c>
      <c r="F399" s="1" t="s">
        <v>13</v>
      </c>
      <c r="G399" s="1">
        <v>6</v>
      </c>
      <c r="H399" s="1">
        <v>5268.47</v>
      </c>
      <c r="I399" s="1">
        <v>0.2</v>
      </c>
      <c r="J399" s="1">
        <v>6557.44</v>
      </c>
      <c r="K399" s="1" t="s">
        <v>10</v>
      </c>
    </row>
    <row r="400" spans="1:11" ht="15" customHeight="1" x14ac:dyDescent="0.25">
      <c r="A400" s="1">
        <v>10399</v>
      </c>
      <c r="B400" s="2">
        <v>46022</v>
      </c>
      <c r="C400" s="1" t="s">
        <v>18</v>
      </c>
      <c r="D400" s="1" t="s">
        <v>37</v>
      </c>
      <c r="E400" s="1" t="s">
        <v>8</v>
      </c>
      <c r="F400" s="1" t="s">
        <v>13</v>
      </c>
      <c r="G400" s="1">
        <v>6</v>
      </c>
      <c r="H400" s="1">
        <v>61943.37</v>
      </c>
      <c r="I400" s="1">
        <v>0.15</v>
      </c>
      <c r="J400" s="1">
        <v>1960.56</v>
      </c>
      <c r="K400" s="1" t="s">
        <v>8</v>
      </c>
    </row>
    <row r="401" spans="1:11" ht="15" customHeight="1" x14ac:dyDescent="0.25">
      <c r="A401" s="1">
        <v>10400</v>
      </c>
      <c r="B401" s="2">
        <v>45873</v>
      </c>
      <c r="C401" s="1" t="s">
        <v>18</v>
      </c>
      <c r="D401" s="1" t="s">
        <v>40</v>
      </c>
      <c r="E401" s="1" t="s">
        <v>10</v>
      </c>
      <c r="F401" s="1" t="s">
        <v>12</v>
      </c>
      <c r="G401" s="1">
        <v>3</v>
      </c>
      <c r="H401" s="1">
        <v>22282.54</v>
      </c>
      <c r="I401" s="1">
        <v>0.05</v>
      </c>
      <c r="J401" s="1">
        <v>8310.4</v>
      </c>
      <c r="K401" s="1" t="s">
        <v>10</v>
      </c>
    </row>
    <row r="402" spans="1:11" ht="15" customHeight="1" x14ac:dyDescent="0.25">
      <c r="A402" s="1">
        <v>10401</v>
      </c>
      <c r="B402" s="2">
        <v>45841</v>
      </c>
      <c r="C402" s="1" t="s">
        <v>23</v>
      </c>
      <c r="D402" s="1" t="s">
        <v>37</v>
      </c>
      <c r="E402" s="1" t="s">
        <v>8</v>
      </c>
      <c r="F402" s="1" t="s">
        <v>12</v>
      </c>
      <c r="H402" s="1">
        <v>33572</v>
      </c>
      <c r="I402" s="1">
        <v>0.2</v>
      </c>
      <c r="J402" s="1">
        <v>2052.42</v>
      </c>
      <c r="K402" s="1" t="s">
        <v>8</v>
      </c>
    </row>
    <row r="403" spans="1:11" ht="15" customHeight="1" x14ac:dyDescent="0.25">
      <c r="A403" s="1">
        <v>10402</v>
      </c>
      <c r="B403" s="2">
        <v>45672</v>
      </c>
      <c r="C403" s="1" t="s">
        <v>20</v>
      </c>
      <c r="D403" s="1" t="s">
        <v>34</v>
      </c>
      <c r="E403" s="1" t="s">
        <v>10</v>
      </c>
      <c r="F403" s="1" t="s">
        <v>9</v>
      </c>
      <c r="G403" s="1">
        <v>2</v>
      </c>
      <c r="H403" s="1">
        <v>2132.54</v>
      </c>
      <c r="J403" s="1">
        <v>3758.19</v>
      </c>
      <c r="K403" s="1" t="s">
        <v>10</v>
      </c>
    </row>
    <row r="404" spans="1:11" ht="15" customHeight="1" x14ac:dyDescent="0.25">
      <c r="A404" s="1">
        <v>10403</v>
      </c>
      <c r="B404" s="2">
        <v>45814</v>
      </c>
      <c r="C404" s="1" t="s">
        <v>25</v>
      </c>
      <c r="D404" s="1" t="s">
        <v>36</v>
      </c>
      <c r="E404" s="1" t="s">
        <v>10</v>
      </c>
      <c r="F404" s="1" t="s">
        <v>11</v>
      </c>
      <c r="G404" s="1">
        <v>3</v>
      </c>
      <c r="H404" s="1">
        <v>22927.93</v>
      </c>
      <c r="I404" s="1">
        <v>0</v>
      </c>
      <c r="J404" s="1">
        <v>-500</v>
      </c>
      <c r="K404" s="1" t="s">
        <v>10</v>
      </c>
    </row>
    <row r="405" spans="1:11" ht="15" customHeight="1" x14ac:dyDescent="0.25">
      <c r="A405" s="1">
        <v>10404</v>
      </c>
      <c r="B405" s="2">
        <v>45793</v>
      </c>
      <c r="C405" s="1" t="s">
        <v>20</v>
      </c>
      <c r="D405" s="1" t="s">
        <v>40</v>
      </c>
      <c r="E405" s="1" t="s">
        <v>10</v>
      </c>
      <c r="F405" s="1" t="s">
        <v>12</v>
      </c>
      <c r="G405" s="1">
        <v>2</v>
      </c>
      <c r="H405" s="1">
        <v>37946.03</v>
      </c>
      <c r="I405" s="1">
        <v>0.05</v>
      </c>
      <c r="J405" s="1">
        <v>9567.4599999999991</v>
      </c>
      <c r="K405" s="1" t="s">
        <v>10</v>
      </c>
    </row>
    <row r="406" spans="1:11" ht="15" customHeight="1" x14ac:dyDescent="0.25">
      <c r="A406" s="1">
        <v>10405</v>
      </c>
      <c r="B406" s="2">
        <v>45918</v>
      </c>
      <c r="C406" s="1" t="s">
        <v>19</v>
      </c>
      <c r="D406" s="1" t="s">
        <v>37</v>
      </c>
      <c r="E406" s="1" t="s">
        <v>8</v>
      </c>
      <c r="F406" s="1" t="s">
        <v>11</v>
      </c>
      <c r="G406" s="1">
        <v>6</v>
      </c>
      <c r="H406" s="1">
        <v>4685.12</v>
      </c>
      <c r="I406" s="1">
        <v>0.15</v>
      </c>
      <c r="J406" s="1">
        <v>8886.66</v>
      </c>
      <c r="K406" s="1" t="s">
        <v>8</v>
      </c>
    </row>
    <row r="407" spans="1:11" ht="15" customHeight="1" x14ac:dyDescent="0.25">
      <c r="A407" s="1">
        <v>10406</v>
      </c>
      <c r="B407" s="2">
        <v>45814</v>
      </c>
      <c r="C407" s="1" t="s">
        <v>18</v>
      </c>
      <c r="D407" s="1" t="s">
        <v>34</v>
      </c>
      <c r="E407" s="1" t="s">
        <v>10</v>
      </c>
      <c r="F407" s="1" t="s">
        <v>13</v>
      </c>
      <c r="G407" s="1">
        <v>3</v>
      </c>
      <c r="H407" s="1">
        <v>37086.629999999997</v>
      </c>
      <c r="I407" s="1">
        <v>0.1</v>
      </c>
      <c r="J407" s="1">
        <v>7764.14</v>
      </c>
      <c r="K407" s="1" t="s">
        <v>10</v>
      </c>
    </row>
    <row r="408" spans="1:11" ht="15" customHeight="1" x14ac:dyDescent="0.25">
      <c r="A408" s="1">
        <v>10407</v>
      </c>
      <c r="B408" s="2">
        <v>45704</v>
      </c>
      <c r="C408" s="1" t="s">
        <v>17</v>
      </c>
      <c r="D408" s="1" t="s">
        <v>39</v>
      </c>
      <c r="E408" s="1" t="s">
        <v>10</v>
      </c>
      <c r="F408" s="1" t="s">
        <v>12</v>
      </c>
      <c r="G408" s="1">
        <v>5</v>
      </c>
      <c r="H408" s="1">
        <v>69569.740000000005</v>
      </c>
      <c r="I408" s="1">
        <v>0.05</v>
      </c>
      <c r="J408" s="1">
        <v>1911.49</v>
      </c>
      <c r="K408" s="1" t="s">
        <v>10</v>
      </c>
    </row>
    <row r="409" spans="1:11" ht="15" customHeight="1" x14ac:dyDescent="0.25">
      <c r="A409" s="1">
        <v>10408</v>
      </c>
      <c r="B409" s="2">
        <v>45981</v>
      </c>
      <c r="C409" s="1" t="s">
        <v>17</v>
      </c>
      <c r="D409" s="1" t="s">
        <v>37</v>
      </c>
      <c r="E409" s="1" t="s">
        <v>8</v>
      </c>
      <c r="F409" s="1" t="s">
        <v>9</v>
      </c>
      <c r="G409" s="1">
        <v>7</v>
      </c>
      <c r="H409" s="1">
        <v>8351.7900000000009</v>
      </c>
      <c r="I409" s="1">
        <v>0.25</v>
      </c>
      <c r="J409" s="1">
        <v>6587.19</v>
      </c>
      <c r="K409" s="1" t="s">
        <v>8</v>
      </c>
    </row>
    <row r="410" spans="1:11" ht="15" customHeight="1" x14ac:dyDescent="0.25">
      <c r="A410" s="1">
        <v>10409</v>
      </c>
      <c r="B410" s="2">
        <v>45989</v>
      </c>
      <c r="C410" s="1" t="s">
        <v>25</v>
      </c>
      <c r="D410" s="1" t="s">
        <v>34</v>
      </c>
      <c r="E410" s="1" t="s">
        <v>10</v>
      </c>
      <c r="F410" s="1" t="s">
        <v>9</v>
      </c>
      <c r="G410" s="1">
        <v>5</v>
      </c>
      <c r="H410" s="1">
        <v>57450.83</v>
      </c>
      <c r="I410" s="1">
        <v>0.1</v>
      </c>
      <c r="J410" s="1">
        <v>1094.99</v>
      </c>
      <c r="K410" s="1" t="s">
        <v>10</v>
      </c>
    </row>
    <row r="411" spans="1:11" ht="15" customHeight="1" x14ac:dyDescent="0.25">
      <c r="A411" s="1">
        <v>10410</v>
      </c>
      <c r="B411" s="2">
        <v>45830</v>
      </c>
      <c r="C411" s="1" t="s">
        <v>19</v>
      </c>
      <c r="D411" s="1" t="s">
        <v>39</v>
      </c>
      <c r="E411" s="1" t="s">
        <v>10</v>
      </c>
      <c r="F411" s="1" t="s">
        <v>9</v>
      </c>
      <c r="G411" s="1">
        <v>6</v>
      </c>
      <c r="H411" s="1">
        <v>31020.49</v>
      </c>
      <c r="I411" s="1">
        <v>0</v>
      </c>
      <c r="J411" s="1">
        <v>4559.49</v>
      </c>
      <c r="K411" s="1" t="s">
        <v>10</v>
      </c>
    </row>
    <row r="412" spans="1:11" ht="15" customHeight="1" x14ac:dyDescent="0.25">
      <c r="A412" s="1">
        <v>10411</v>
      </c>
      <c r="B412" s="2">
        <v>45787</v>
      </c>
      <c r="C412" s="1" t="s">
        <v>23</v>
      </c>
      <c r="D412" s="1" t="s">
        <v>36</v>
      </c>
      <c r="E412" s="1" t="s">
        <v>10</v>
      </c>
      <c r="F412" s="1" t="s">
        <v>12</v>
      </c>
      <c r="G412" s="1">
        <v>2</v>
      </c>
      <c r="H412" s="1">
        <v>49310.44</v>
      </c>
      <c r="I412" s="1">
        <v>0.2</v>
      </c>
      <c r="J412" s="1">
        <v>4991.5200000000004</v>
      </c>
      <c r="K412" s="1" t="s">
        <v>10</v>
      </c>
    </row>
    <row r="413" spans="1:11" ht="15" customHeight="1" x14ac:dyDescent="0.25">
      <c r="A413" s="1">
        <v>10412</v>
      </c>
      <c r="B413" s="2">
        <v>45752</v>
      </c>
      <c r="C413" s="1" t="s">
        <v>21</v>
      </c>
      <c r="D413" s="1" t="s">
        <v>37</v>
      </c>
      <c r="E413" s="1" t="s">
        <v>8</v>
      </c>
      <c r="F413" s="1" t="s">
        <v>11</v>
      </c>
      <c r="G413" s="1">
        <v>5</v>
      </c>
      <c r="H413" s="1">
        <v>19887.63</v>
      </c>
      <c r="I413" s="1">
        <v>0.2</v>
      </c>
      <c r="J413" s="1">
        <v>525.75</v>
      </c>
      <c r="K413" s="1" t="s">
        <v>8</v>
      </c>
    </row>
    <row r="414" spans="1:11" ht="15" customHeight="1" x14ac:dyDescent="0.25">
      <c r="A414" s="1">
        <v>10413</v>
      </c>
      <c r="B414" s="2">
        <v>45772</v>
      </c>
      <c r="C414" s="1" t="s">
        <v>19</v>
      </c>
      <c r="D414" s="1" t="s">
        <v>39</v>
      </c>
      <c r="E414" s="1" t="s">
        <v>10</v>
      </c>
      <c r="F414" s="1" t="s">
        <v>13</v>
      </c>
      <c r="G414" s="1">
        <v>2</v>
      </c>
      <c r="H414" s="1">
        <v>12382.17</v>
      </c>
      <c r="I414" s="1">
        <v>0.1</v>
      </c>
      <c r="J414" s="1">
        <v>3324.16</v>
      </c>
      <c r="K414" s="1" t="s">
        <v>10</v>
      </c>
    </row>
    <row r="415" spans="1:11" ht="15" customHeight="1" x14ac:dyDescent="0.25">
      <c r="A415" s="1">
        <v>10414</v>
      </c>
      <c r="B415" s="2">
        <v>45900</v>
      </c>
      <c r="C415" s="1" t="s">
        <v>17</v>
      </c>
      <c r="D415" s="1" t="s">
        <v>40</v>
      </c>
      <c r="E415" s="1" t="s">
        <v>10</v>
      </c>
      <c r="F415" s="1" t="s">
        <v>11</v>
      </c>
      <c r="G415" s="1">
        <v>5</v>
      </c>
      <c r="H415" s="1">
        <v>12454.46</v>
      </c>
      <c r="I415" s="1">
        <v>0.2</v>
      </c>
      <c r="J415" s="1">
        <v>11470.01</v>
      </c>
      <c r="K415" s="1" t="s">
        <v>10</v>
      </c>
    </row>
    <row r="416" spans="1:11" ht="15" customHeight="1" x14ac:dyDescent="0.25">
      <c r="A416" s="1">
        <v>10415</v>
      </c>
      <c r="B416" s="2">
        <v>45949</v>
      </c>
      <c r="C416" s="1" t="s">
        <v>17</v>
      </c>
      <c r="D416" s="1" t="s">
        <v>36</v>
      </c>
      <c r="E416" s="1" t="s">
        <v>10</v>
      </c>
      <c r="F416" s="1" t="s">
        <v>11</v>
      </c>
      <c r="G416" s="1">
        <v>5</v>
      </c>
      <c r="H416" s="1">
        <v>5751.65</v>
      </c>
      <c r="I416" s="1">
        <v>0.05</v>
      </c>
      <c r="J416" s="1">
        <v>11445.91</v>
      </c>
      <c r="K416" s="1" t="s">
        <v>10</v>
      </c>
    </row>
    <row r="417" spans="1:11" ht="15" customHeight="1" x14ac:dyDescent="0.25">
      <c r="A417" s="1">
        <v>10416</v>
      </c>
      <c r="B417" s="2">
        <v>45939</v>
      </c>
      <c r="C417" s="1" t="s">
        <v>23</v>
      </c>
      <c r="D417" s="1" t="s">
        <v>40</v>
      </c>
      <c r="E417" s="1" t="s">
        <v>10</v>
      </c>
      <c r="F417" s="1" t="s">
        <v>13</v>
      </c>
      <c r="G417" s="1">
        <v>2</v>
      </c>
      <c r="H417" s="1">
        <v>14330.68</v>
      </c>
      <c r="I417" s="1">
        <v>0.1</v>
      </c>
      <c r="J417" s="1">
        <v>4260.3100000000004</v>
      </c>
      <c r="K417" s="1" t="s">
        <v>10</v>
      </c>
    </row>
    <row r="418" spans="1:11" ht="15" customHeight="1" x14ac:dyDescent="0.25">
      <c r="A418" s="1">
        <v>10417</v>
      </c>
      <c r="B418" s="2">
        <v>45956</v>
      </c>
      <c r="C418" s="1" t="s">
        <v>18</v>
      </c>
      <c r="D418" s="1" t="s">
        <v>35</v>
      </c>
      <c r="E418" s="1" t="s">
        <v>10</v>
      </c>
      <c r="F418" s="1" t="s">
        <v>13</v>
      </c>
      <c r="G418" s="1">
        <v>4</v>
      </c>
      <c r="H418" s="1">
        <v>49984.34</v>
      </c>
      <c r="I418" s="1">
        <v>0.15</v>
      </c>
      <c r="J418" s="1">
        <v>565.04999999999995</v>
      </c>
      <c r="K418" s="1" t="s">
        <v>10</v>
      </c>
    </row>
    <row r="419" spans="1:11" ht="15" customHeight="1" x14ac:dyDescent="0.25">
      <c r="A419" s="1">
        <v>10418</v>
      </c>
      <c r="B419" s="2">
        <v>45940</v>
      </c>
      <c r="C419" s="1" t="s">
        <v>19</v>
      </c>
      <c r="D419" s="1" t="s">
        <v>38</v>
      </c>
      <c r="E419" s="1" t="s">
        <v>10</v>
      </c>
      <c r="F419" s="1" t="s">
        <v>12</v>
      </c>
      <c r="G419" s="1">
        <v>5</v>
      </c>
      <c r="H419" s="1">
        <v>66185.95</v>
      </c>
      <c r="I419" s="1">
        <v>0.05</v>
      </c>
      <c r="J419" s="1">
        <v>2190.1799999999998</v>
      </c>
      <c r="K419" s="1" t="s">
        <v>10</v>
      </c>
    </row>
    <row r="420" spans="1:11" ht="15" customHeight="1" x14ac:dyDescent="0.25">
      <c r="A420" s="1">
        <v>10419</v>
      </c>
      <c r="B420" s="2">
        <v>45726</v>
      </c>
      <c r="C420" s="1" t="s">
        <v>19</v>
      </c>
      <c r="D420" s="1" t="s">
        <v>37</v>
      </c>
      <c r="E420" s="1" t="s">
        <v>8</v>
      </c>
      <c r="F420" s="1" t="s">
        <v>12</v>
      </c>
      <c r="G420" s="1">
        <v>3</v>
      </c>
      <c r="H420" s="1">
        <v>61152.36</v>
      </c>
      <c r="I420" s="1">
        <v>0.05</v>
      </c>
      <c r="J420" s="1">
        <v>4737</v>
      </c>
      <c r="K420" s="1" t="s">
        <v>8</v>
      </c>
    </row>
    <row r="421" spans="1:11" ht="15" customHeight="1" x14ac:dyDescent="0.25">
      <c r="A421" s="1">
        <v>10420</v>
      </c>
      <c r="B421" s="2">
        <v>45805</v>
      </c>
      <c r="C421" s="1" t="s">
        <v>17</v>
      </c>
      <c r="D421" s="1" t="s">
        <v>39</v>
      </c>
      <c r="E421" s="1" t="s">
        <v>10</v>
      </c>
      <c r="F421" s="1" t="s">
        <v>12</v>
      </c>
      <c r="G421" s="1">
        <v>7</v>
      </c>
      <c r="H421" s="1">
        <v>51542.51</v>
      </c>
      <c r="I421" s="1">
        <v>0.05</v>
      </c>
      <c r="J421" s="1">
        <v>11375.97</v>
      </c>
      <c r="K421" s="1" t="s">
        <v>10</v>
      </c>
    </row>
    <row r="422" spans="1:11" ht="15" customHeight="1" x14ac:dyDescent="0.25">
      <c r="A422" s="1">
        <v>10421</v>
      </c>
      <c r="B422" s="2">
        <v>45668</v>
      </c>
      <c r="C422" s="1" t="s">
        <v>21</v>
      </c>
      <c r="D422" s="1" t="s">
        <v>38</v>
      </c>
      <c r="E422" s="1" t="s">
        <v>10</v>
      </c>
      <c r="F422" s="1" t="s">
        <v>12</v>
      </c>
      <c r="G422" s="1">
        <v>6</v>
      </c>
      <c r="H422" s="1">
        <v>8727.17</v>
      </c>
      <c r="I422" s="1">
        <v>0.15</v>
      </c>
      <c r="J422" s="1">
        <v>1737.33</v>
      </c>
      <c r="K422" s="1" t="s">
        <v>10</v>
      </c>
    </row>
    <row r="423" spans="1:11" ht="15" customHeight="1" x14ac:dyDescent="0.25">
      <c r="A423" s="1">
        <v>10422</v>
      </c>
      <c r="B423" s="2">
        <v>45911</v>
      </c>
      <c r="C423" s="1" t="s">
        <v>25</v>
      </c>
      <c r="D423" s="1" t="s">
        <v>38</v>
      </c>
      <c r="E423" s="1" t="s">
        <v>10</v>
      </c>
      <c r="F423" s="1" t="s">
        <v>12</v>
      </c>
      <c r="G423" s="1">
        <v>4</v>
      </c>
      <c r="H423" s="1">
        <v>22044.46</v>
      </c>
      <c r="I423" s="1">
        <v>0</v>
      </c>
      <c r="J423" s="1">
        <v>9174.01</v>
      </c>
      <c r="K423" s="1" t="s">
        <v>10</v>
      </c>
    </row>
    <row r="424" spans="1:11" ht="15" customHeight="1" x14ac:dyDescent="0.25">
      <c r="A424" s="1">
        <v>10423</v>
      </c>
      <c r="B424" s="2">
        <v>45987</v>
      </c>
      <c r="C424" s="1" t="s">
        <v>22</v>
      </c>
      <c r="D424" s="1" t="s">
        <v>39</v>
      </c>
      <c r="E424" s="1" t="s">
        <v>10</v>
      </c>
      <c r="F424" s="1" t="s">
        <v>13</v>
      </c>
      <c r="G424" s="1">
        <v>2</v>
      </c>
      <c r="H424" s="1">
        <v>23580.61</v>
      </c>
      <c r="I424" s="1">
        <v>0.25</v>
      </c>
      <c r="J424" s="1">
        <v>1348.76</v>
      </c>
      <c r="K424" s="1" t="s">
        <v>10</v>
      </c>
    </row>
    <row r="425" spans="1:11" ht="15" customHeight="1" x14ac:dyDescent="0.25">
      <c r="A425" s="1">
        <v>10424</v>
      </c>
      <c r="B425" s="2">
        <v>46017</v>
      </c>
      <c r="C425" s="1" t="s">
        <v>25</v>
      </c>
      <c r="D425" s="1" t="s">
        <v>36</v>
      </c>
      <c r="E425" s="1" t="s">
        <v>10</v>
      </c>
      <c r="F425" s="1" t="s">
        <v>11</v>
      </c>
      <c r="G425" s="1">
        <v>4</v>
      </c>
      <c r="H425" s="1">
        <v>19121.79</v>
      </c>
      <c r="I425" s="1">
        <v>0.2</v>
      </c>
      <c r="J425" s="1">
        <v>11776.03</v>
      </c>
      <c r="K425" s="1" t="s">
        <v>10</v>
      </c>
    </row>
    <row r="426" spans="1:11" ht="15" customHeight="1" x14ac:dyDescent="0.25">
      <c r="A426" s="1">
        <v>10425</v>
      </c>
      <c r="B426" s="2">
        <v>45695</v>
      </c>
      <c r="C426" s="1" t="s">
        <v>19</v>
      </c>
      <c r="D426" s="1" t="s">
        <v>37</v>
      </c>
      <c r="E426" s="1" t="s">
        <v>8</v>
      </c>
      <c r="F426" s="1" t="s">
        <v>12</v>
      </c>
      <c r="G426" s="1">
        <v>1</v>
      </c>
      <c r="H426" s="1">
        <v>38867.919999999998</v>
      </c>
      <c r="I426" s="1">
        <v>0.1</v>
      </c>
      <c r="J426" s="1">
        <v>4610.32</v>
      </c>
      <c r="K426" s="1" t="s">
        <v>8</v>
      </c>
    </row>
    <row r="427" spans="1:11" ht="15" customHeight="1" x14ac:dyDescent="0.25">
      <c r="A427" s="1">
        <v>10426</v>
      </c>
      <c r="B427" s="2">
        <v>45791</v>
      </c>
      <c r="C427" s="1" t="s">
        <v>25</v>
      </c>
      <c r="D427" s="1" t="s">
        <v>35</v>
      </c>
      <c r="E427" s="1" t="s">
        <v>10</v>
      </c>
      <c r="F427" s="1" t="s">
        <v>12</v>
      </c>
      <c r="G427" s="1">
        <v>1</v>
      </c>
      <c r="H427" s="1">
        <v>40398.76</v>
      </c>
      <c r="I427" s="1">
        <v>0</v>
      </c>
      <c r="J427" s="1">
        <v>9314.0499999999993</v>
      </c>
      <c r="K427" s="1" t="s">
        <v>10</v>
      </c>
    </row>
    <row r="428" spans="1:11" ht="15" customHeight="1" x14ac:dyDescent="0.25">
      <c r="A428" s="1">
        <v>10427</v>
      </c>
      <c r="B428" s="2">
        <v>45857</v>
      </c>
      <c r="C428" s="1" t="s">
        <v>17</v>
      </c>
      <c r="D428" s="1" t="s">
        <v>40</v>
      </c>
      <c r="E428" s="1" t="s">
        <v>10</v>
      </c>
      <c r="F428" s="1" t="s">
        <v>11</v>
      </c>
      <c r="G428" s="1">
        <v>5</v>
      </c>
      <c r="H428" s="1">
        <v>27088.01</v>
      </c>
      <c r="I428" s="1">
        <v>0.1</v>
      </c>
      <c r="J428" s="1">
        <v>4143.96</v>
      </c>
      <c r="K428" s="1" t="s">
        <v>10</v>
      </c>
    </row>
    <row r="429" spans="1:11" ht="15" customHeight="1" x14ac:dyDescent="0.25">
      <c r="A429" s="1">
        <v>10428</v>
      </c>
      <c r="B429" s="2">
        <v>45680</v>
      </c>
      <c r="C429" s="1" t="s">
        <v>17</v>
      </c>
      <c r="D429" s="1" t="s">
        <v>34</v>
      </c>
      <c r="E429" s="1" t="s">
        <v>10</v>
      </c>
      <c r="F429" s="1" t="s">
        <v>12</v>
      </c>
      <c r="G429" s="1">
        <v>5</v>
      </c>
      <c r="H429" s="1">
        <v>26857.29</v>
      </c>
      <c r="I429" s="1">
        <v>0.2</v>
      </c>
      <c r="J429" s="1">
        <v>7550.64</v>
      </c>
      <c r="K429" s="1" t="s">
        <v>10</v>
      </c>
    </row>
    <row r="430" spans="1:11" ht="15" customHeight="1" x14ac:dyDescent="0.25">
      <c r="A430" s="1">
        <v>10429</v>
      </c>
      <c r="B430" s="2">
        <v>45960</v>
      </c>
      <c r="C430" s="1" t="s">
        <v>23</v>
      </c>
      <c r="D430" s="1" t="s">
        <v>40</v>
      </c>
      <c r="E430" s="1" t="s">
        <v>10</v>
      </c>
      <c r="F430" s="1" t="s">
        <v>11</v>
      </c>
      <c r="G430" s="1">
        <v>3</v>
      </c>
      <c r="H430" s="1">
        <v>62227.39</v>
      </c>
      <c r="I430" s="1">
        <v>0.15</v>
      </c>
      <c r="J430" s="1">
        <v>2344.59</v>
      </c>
      <c r="K430" s="1" t="s">
        <v>10</v>
      </c>
    </row>
    <row r="431" spans="1:11" ht="15" customHeight="1" x14ac:dyDescent="0.25">
      <c r="A431" s="1">
        <v>10430</v>
      </c>
      <c r="B431" s="2">
        <v>46003</v>
      </c>
      <c r="C431" s="1" t="s">
        <v>19</v>
      </c>
      <c r="D431" s="1" t="s">
        <v>34</v>
      </c>
      <c r="E431" s="1" t="s">
        <v>10</v>
      </c>
      <c r="F431" s="1" t="s">
        <v>11</v>
      </c>
      <c r="G431" s="1">
        <v>7</v>
      </c>
      <c r="H431" s="1">
        <v>59302.32</v>
      </c>
      <c r="I431" s="1">
        <v>0.05</v>
      </c>
      <c r="J431" s="1">
        <v>1794.95</v>
      </c>
      <c r="K431" s="1" t="s">
        <v>10</v>
      </c>
    </row>
    <row r="432" spans="1:11" ht="15" customHeight="1" x14ac:dyDescent="0.25">
      <c r="A432" s="1">
        <v>10431</v>
      </c>
      <c r="B432" s="2">
        <v>45959</v>
      </c>
      <c r="C432" s="1" t="s">
        <v>23</v>
      </c>
      <c r="D432" s="1" t="s">
        <v>40</v>
      </c>
      <c r="E432" s="1" t="s">
        <v>10</v>
      </c>
      <c r="F432" s="1" t="s">
        <v>13</v>
      </c>
      <c r="G432" s="1">
        <v>6</v>
      </c>
      <c r="H432" s="1">
        <v>23430.79</v>
      </c>
      <c r="I432" s="1">
        <v>0.05</v>
      </c>
      <c r="J432" s="1">
        <v>11259.87</v>
      </c>
      <c r="K432" s="1" t="s">
        <v>10</v>
      </c>
    </row>
    <row r="433" spans="1:11" ht="15" customHeight="1" x14ac:dyDescent="0.25">
      <c r="A433" s="1">
        <v>10432</v>
      </c>
      <c r="B433" s="2">
        <v>46020</v>
      </c>
      <c r="C433" s="1" t="s">
        <v>19</v>
      </c>
      <c r="D433" s="1" t="s">
        <v>39</v>
      </c>
      <c r="E433" s="1" t="s">
        <v>10</v>
      </c>
      <c r="F433" s="1" t="s">
        <v>9</v>
      </c>
      <c r="G433" s="1">
        <v>4</v>
      </c>
      <c r="H433" s="1">
        <v>68577.240000000005</v>
      </c>
      <c r="I433" s="1">
        <v>0.15</v>
      </c>
      <c r="J433" s="1">
        <v>11015.88</v>
      </c>
      <c r="K433" s="1" t="s">
        <v>10</v>
      </c>
    </row>
    <row r="434" spans="1:11" ht="15" customHeight="1" x14ac:dyDescent="0.25">
      <c r="A434" s="1">
        <v>10433</v>
      </c>
      <c r="B434" s="2">
        <v>45875</v>
      </c>
      <c r="C434" s="1" t="s">
        <v>22</v>
      </c>
      <c r="D434" s="1" t="s">
        <v>35</v>
      </c>
      <c r="E434" s="1" t="s">
        <v>10</v>
      </c>
      <c r="F434" s="1" t="s">
        <v>13</v>
      </c>
      <c r="G434" s="1">
        <v>1</v>
      </c>
      <c r="H434" s="1">
        <v>71484.72</v>
      </c>
      <c r="I434" s="1">
        <v>0</v>
      </c>
      <c r="J434" s="1">
        <v>10655.25</v>
      </c>
      <c r="K434" s="1" t="s">
        <v>10</v>
      </c>
    </row>
    <row r="435" spans="1:11" ht="15" customHeight="1" x14ac:dyDescent="0.25">
      <c r="A435" s="1">
        <v>10434</v>
      </c>
      <c r="B435" s="2">
        <v>45798</v>
      </c>
      <c r="C435" s="1" t="s">
        <v>22</v>
      </c>
      <c r="D435" s="1" t="s">
        <v>37</v>
      </c>
      <c r="E435" s="1" t="s">
        <v>8</v>
      </c>
      <c r="F435" s="1" t="s">
        <v>9</v>
      </c>
      <c r="G435" s="1">
        <v>5</v>
      </c>
      <c r="H435" s="1">
        <v>24842.32</v>
      </c>
      <c r="I435" s="1">
        <v>0</v>
      </c>
      <c r="J435" s="1">
        <v>7523.93</v>
      </c>
      <c r="K435" s="1" t="s">
        <v>8</v>
      </c>
    </row>
    <row r="436" spans="1:11" ht="15" customHeight="1" x14ac:dyDescent="0.25">
      <c r="A436" s="1">
        <v>10435</v>
      </c>
      <c r="B436" s="2">
        <v>45761</v>
      </c>
      <c r="C436" s="1" t="s">
        <v>18</v>
      </c>
      <c r="D436" s="1" t="s">
        <v>34</v>
      </c>
      <c r="E436" s="1" t="s">
        <v>10</v>
      </c>
      <c r="F436" s="1" t="s">
        <v>9</v>
      </c>
      <c r="G436" s="1">
        <v>6</v>
      </c>
      <c r="H436" s="1">
        <v>26904.66</v>
      </c>
      <c r="I436" s="1">
        <v>0.1</v>
      </c>
      <c r="J436" s="1">
        <v>9708.81</v>
      </c>
      <c r="K436" s="1" t="s">
        <v>10</v>
      </c>
    </row>
    <row r="437" spans="1:11" ht="15" customHeight="1" x14ac:dyDescent="0.25">
      <c r="A437" s="1">
        <v>10436</v>
      </c>
      <c r="B437" s="2">
        <v>45867</v>
      </c>
      <c r="C437" s="1" t="s">
        <v>19</v>
      </c>
      <c r="D437" s="1" t="s">
        <v>37</v>
      </c>
      <c r="E437" s="1" t="s">
        <v>8</v>
      </c>
      <c r="F437" s="1" t="s">
        <v>9</v>
      </c>
      <c r="G437" s="1">
        <v>4</v>
      </c>
      <c r="H437" s="1">
        <v>38169.74</v>
      </c>
      <c r="I437" s="1">
        <v>0.15</v>
      </c>
      <c r="J437" s="1">
        <v>874.99</v>
      </c>
      <c r="K437" s="1" t="s">
        <v>8</v>
      </c>
    </row>
    <row r="438" spans="1:11" ht="15" customHeight="1" x14ac:dyDescent="0.25">
      <c r="A438" s="1">
        <v>10437</v>
      </c>
      <c r="B438" s="2">
        <v>45768</v>
      </c>
      <c r="C438" s="1" t="s">
        <v>21</v>
      </c>
      <c r="D438" s="1" t="s">
        <v>37</v>
      </c>
      <c r="E438" s="1" t="s">
        <v>8</v>
      </c>
      <c r="F438" s="1" t="s">
        <v>12</v>
      </c>
      <c r="G438" s="1">
        <v>5</v>
      </c>
      <c r="H438" s="1">
        <v>70613.5</v>
      </c>
      <c r="I438" s="1">
        <v>0</v>
      </c>
      <c r="J438" s="1">
        <v>4050.73</v>
      </c>
      <c r="K438" s="1" t="s">
        <v>8</v>
      </c>
    </row>
    <row r="439" spans="1:11" ht="15" customHeight="1" x14ac:dyDescent="0.25">
      <c r="A439" s="1">
        <v>10438</v>
      </c>
      <c r="B439" s="2">
        <v>45761</v>
      </c>
      <c r="C439" s="1" t="s">
        <v>25</v>
      </c>
      <c r="D439" s="1" t="s">
        <v>37</v>
      </c>
      <c r="E439" s="1" t="s">
        <v>8</v>
      </c>
      <c r="F439" s="1" t="s">
        <v>13</v>
      </c>
      <c r="G439" s="1">
        <v>5</v>
      </c>
      <c r="H439" s="1">
        <v>65785.8</v>
      </c>
      <c r="I439" s="1">
        <v>0.15</v>
      </c>
      <c r="J439" s="1">
        <v>3798.75</v>
      </c>
      <c r="K439" s="1" t="s">
        <v>8</v>
      </c>
    </row>
    <row r="440" spans="1:11" ht="15" customHeight="1" x14ac:dyDescent="0.25">
      <c r="A440" s="1">
        <v>10439</v>
      </c>
      <c r="B440" s="2">
        <v>45973</v>
      </c>
      <c r="C440" s="1" t="s">
        <v>19</v>
      </c>
      <c r="D440" s="1" t="s">
        <v>33</v>
      </c>
      <c r="E440" s="1" t="s">
        <v>8</v>
      </c>
      <c r="F440" s="1" t="s">
        <v>9</v>
      </c>
      <c r="G440" s="1">
        <v>1</v>
      </c>
      <c r="H440" s="1">
        <v>8141.31</v>
      </c>
      <c r="I440" s="1">
        <v>0.2</v>
      </c>
      <c r="J440" s="1">
        <v>7645.96</v>
      </c>
      <c r="K440" s="1" t="s">
        <v>8</v>
      </c>
    </row>
    <row r="441" spans="1:11" ht="15" customHeight="1" x14ac:dyDescent="0.25">
      <c r="A441" s="1">
        <v>10440</v>
      </c>
      <c r="B441" s="2">
        <v>45828</v>
      </c>
      <c r="C441" s="1" t="s">
        <v>20</v>
      </c>
      <c r="D441" s="1" t="s">
        <v>36</v>
      </c>
      <c r="E441" s="1" t="s">
        <v>10</v>
      </c>
      <c r="F441" s="1" t="s">
        <v>11</v>
      </c>
      <c r="G441" s="1">
        <v>1</v>
      </c>
      <c r="H441" s="1">
        <v>29758.44</v>
      </c>
      <c r="I441" s="1">
        <v>0.05</v>
      </c>
      <c r="J441" s="1">
        <v>4303.7</v>
      </c>
      <c r="K441" s="1" t="s">
        <v>10</v>
      </c>
    </row>
    <row r="442" spans="1:11" ht="15" customHeight="1" x14ac:dyDescent="0.25">
      <c r="A442" s="1">
        <v>10441</v>
      </c>
      <c r="B442" s="2">
        <v>46013</v>
      </c>
      <c r="C442" s="1" t="s">
        <v>18</v>
      </c>
      <c r="D442" s="1" t="s">
        <v>40</v>
      </c>
      <c r="E442" s="1" t="s">
        <v>10</v>
      </c>
      <c r="F442" s="1" t="s">
        <v>12</v>
      </c>
      <c r="G442" s="1">
        <v>5</v>
      </c>
      <c r="H442" s="1">
        <v>41726.15</v>
      </c>
      <c r="I442" s="1">
        <v>0.05</v>
      </c>
      <c r="J442" s="1">
        <v>1824.66</v>
      </c>
      <c r="K442" s="1" t="s">
        <v>10</v>
      </c>
    </row>
    <row r="443" spans="1:11" ht="15" customHeight="1" x14ac:dyDescent="0.25">
      <c r="A443" s="1">
        <v>10442</v>
      </c>
      <c r="B443" s="2">
        <v>45981</v>
      </c>
      <c r="C443" s="1" t="s">
        <v>20</v>
      </c>
      <c r="D443" s="1" t="s">
        <v>37</v>
      </c>
      <c r="E443" s="1" t="s">
        <v>8</v>
      </c>
      <c r="F443" s="1" t="s">
        <v>13</v>
      </c>
      <c r="G443" s="1">
        <v>2</v>
      </c>
      <c r="H443" s="1">
        <v>37983.370000000003</v>
      </c>
      <c r="I443" s="1">
        <v>0.05</v>
      </c>
      <c r="J443" s="1">
        <v>7177.78</v>
      </c>
      <c r="K443" s="1" t="s">
        <v>8</v>
      </c>
    </row>
    <row r="444" spans="1:11" ht="15" customHeight="1" x14ac:dyDescent="0.25">
      <c r="A444" s="1">
        <v>10443</v>
      </c>
      <c r="B444" s="2">
        <v>45790</v>
      </c>
      <c r="C444" s="1" t="s">
        <v>17</v>
      </c>
      <c r="D444" s="1" t="s">
        <v>40</v>
      </c>
      <c r="E444" s="1" t="s">
        <v>10</v>
      </c>
      <c r="F444" s="1" t="s">
        <v>9</v>
      </c>
      <c r="G444" s="1">
        <v>5</v>
      </c>
      <c r="H444" s="1">
        <v>14942.8</v>
      </c>
      <c r="I444" s="1">
        <v>0.15</v>
      </c>
      <c r="J444" s="1">
        <v>9781.89</v>
      </c>
      <c r="K444" s="1" t="s">
        <v>10</v>
      </c>
    </row>
    <row r="445" spans="1:11" ht="15" customHeight="1" x14ac:dyDescent="0.25">
      <c r="A445" s="1">
        <v>10444</v>
      </c>
      <c r="B445" s="2">
        <v>45950</v>
      </c>
      <c r="C445" s="1" t="s">
        <v>22</v>
      </c>
      <c r="D445" s="1" t="s">
        <v>37</v>
      </c>
      <c r="E445" s="1" t="s">
        <v>8</v>
      </c>
      <c r="F445" s="1" t="s">
        <v>11</v>
      </c>
      <c r="G445" s="1">
        <v>6</v>
      </c>
      <c r="H445" s="1">
        <v>64481.85</v>
      </c>
      <c r="I445" s="1">
        <v>0.15</v>
      </c>
      <c r="J445" s="1">
        <v>4616.38</v>
      </c>
      <c r="K445" s="1" t="s">
        <v>8</v>
      </c>
    </row>
    <row r="446" spans="1:11" ht="15" customHeight="1" x14ac:dyDescent="0.25">
      <c r="A446" s="1">
        <v>10445</v>
      </c>
      <c r="B446" s="2">
        <v>45985</v>
      </c>
      <c r="C446" s="1" t="s">
        <v>25</v>
      </c>
      <c r="D446" s="1" t="s">
        <v>34</v>
      </c>
      <c r="E446" s="1" t="s">
        <v>10</v>
      </c>
      <c r="F446" s="1" t="s">
        <v>13</v>
      </c>
      <c r="G446" s="1">
        <v>5</v>
      </c>
      <c r="H446" s="1">
        <v>50932.09</v>
      </c>
      <c r="I446" s="1">
        <v>0.1</v>
      </c>
      <c r="J446" s="1">
        <v>1630.61</v>
      </c>
      <c r="K446" s="1" t="s">
        <v>10</v>
      </c>
    </row>
    <row r="447" spans="1:11" ht="15" customHeight="1" x14ac:dyDescent="0.25">
      <c r="A447" s="1">
        <v>10446</v>
      </c>
      <c r="B447" s="2">
        <v>45784</v>
      </c>
      <c r="C447" s="1" t="s">
        <v>19</v>
      </c>
      <c r="D447" s="1" t="s">
        <v>36</v>
      </c>
      <c r="E447" s="1" t="s">
        <v>10</v>
      </c>
      <c r="F447" s="1" t="s">
        <v>13</v>
      </c>
      <c r="G447" s="1">
        <v>3</v>
      </c>
      <c r="H447" s="1">
        <v>62924.17</v>
      </c>
      <c r="I447" s="1">
        <v>0.05</v>
      </c>
      <c r="J447" s="1">
        <v>2400.42</v>
      </c>
      <c r="K447" s="1" t="s">
        <v>10</v>
      </c>
    </row>
    <row r="448" spans="1:11" ht="15" customHeight="1" x14ac:dyDescent="0.25">
      <c r="A448" s="1">
        <v>10447</v>
      </c>
      <c r="B448" s="2">
        <v>45763</v>
      </c>
      <c r="C448" s="1" t="s">
        <v>20</v>
      </c>
      <c r="D448" s="1" t="s">
        <v>36</v>
      </c>
      <c r="E448" s="1" t="s">
        <v>10</v>
      </c>
      <c r="F448" s="1" t="s">
        <v>12</v>
      </c>
      <c r="G448" s="1">
        <v>7</v>
      </c>
      <c r="H448" s="1">
        <v>64477.94</v>
      </c>
      <c r="I448" s="1">
        <v>0.1</v>
      </c>
      <c r="J448" s="1">
        <v>2887.93</v>
      </c>
      <c r="K448" s="1" t="s">
        <v>10</v>
      </c>
    </row>
    <row r="449" spans="1:11" ht="15" customHeight="1" x14ac:dyDescent="0.25">
      <c r="A449" s="1">
        <v>10448</v>
      </c>
      <c r="B449" s="2">
        <v>45749</v>
      </c>
      <c r="C449" s="1" t="s">
        <v>25</v>
      </c>
      <c r="D449" s="1" t="s">
        <v>39</v>
      </c>
      <c r="E449" s="1" t="s">
        <v>10</v>
      </c>
      <c r="F449" s="1" t="s">
        <v>13</v>
      </c>
      <c r="G449" s="1">
        <v>3</v>
      </c>
      <c r="H449" s="1">
        <v>56252.51</v>
      </c>
      <c r="I449" s="1">
        <v>0.05</v>
      </c>
      <c r="J449" s="1">
        <v>3633.78</v>
      </c>
      <c r="K449" s="1" t="s">
        <v>10</v>
      </c>
    </row>
    <row r="450" spans="1:11" ht="15" customHeight="1" x14ac:dyDescent="0.25">
      <c r="A450" s="1">
        <v>10449</v>
      </c>
      <c r="B450" s="2">
        <v>45944</v>
      </c>
      <c r="C450" s="1" t="s">
        <v>17</v>
      </c>
      <c r="D450" s="1" t="s">
        <v>33</v>
      </c>
      <c r="E450" s="1" t="s">
        <v>8</v>
      </c>
      <c r="F450" s="1" t="s">
        <v>12</v>
      </c>
      <c r="G450" s="1">
        <v>3</v>
      </c>
      <c r="H450" s="1">
        <v>33221.19</v>
      </c>
      <c r="I450" s="1">
        <v>0.1</v>
      </c>
      <c r="J450" s="1">
        <v>7731.4</v>
      </c>
      <c r="K450" s="1" t="s">
        <v>8</v>
      </c>
    </row>
    <row r="451" spans="1:11" ht="15" customHeight="1" x14ac:dyDescent="0.25">
      <c r="A451" s="1">
        <v>10450</v>
      </c>
      <c r="B451" s="2">
        <v>45708</v>
      </c>
      <c r="C451" s="1" t="s">
        <v>22</v>
      </c>
      <c r="D451" s="1" t="s">
        <v>39</v>
      </c>
      <c r="E451" s="1" t="s">
        <v>10</v>
      </c>
      <c r="F451" s="1" t="s">
        <v>9</v>
      </c>
      <c r="G451" s="1">
        <v>2</v>
      </c>
      <c r="H451" s="1">
        <v>45985.73</v>
      </c>
      <c r="I451" s="1">
        <v>0.1</v>
      </c>
      <c r="J451" s="1">
        <v>7231.3</v>
      </c>
      <c r="K451" s="1" t="s">
        <v>10</v>
      </c>
    </row>
    <row r="452" spans="1:11" ht="15" customHeight="1" x14ac:dyDescent="0.25">
      <c r="A452" s="1">
        <v>10451</v>
      </c>
      <c r="B452" s="2">
        <v>45686</v>
      </c>
      <c r="C452" s="1" t="s">
        <v>21</v>
      </c>
      <c r="D452" s="1" t="s">
        <v>39</v>
      </c>
      <c r="E452" s="1" t="s">
        <v>10</v>
      </c>
      <c r="F452" s="1" t="s">
        <v>12</v>
      </c>
      <c r="G452" s="1">
        <v>2</v>
      </c>
      <c r="H452" s="1">
        <v>12447.22</v>
      </c>
      <c r="I452" s="1">
        <v>0.2</v>
      </c>
      <c r="J452" s="1">
        <v>8368.15</v>
      </c>
      <c r="K452" s="1" t="s">
        <v>10</v>
      </c>
    </row>
    <row r="453" spans="1:11" ht="15" customHeight="1" x14ac:dyDescent="0.25">
      <c r="A453" s="1">
        <v>10452</v>
      </c>
      <c r="B453" s="2">
        <v>45953</v>
      </c>
      <c r="C453" s="1" t="s">
        <v>18</v>
      </c>
      <c r="D453" s="1" t="s">
        <v>39</v>
      </c>
      <c r="E453" s="1" t="s">
        <v>10</v>
      </c>
      <c r="F453" s="1" t="s">
        <v>11</v>
      </c>
      <c r="G453" s="1">
        <v>5</v>
      </c>
      <c r="H453" s="1">
        <v>50686.58</v>
      </c>
      <c r="I453" s="1">
        <v>0.1</v>
      </c>
      <c r="J453" s="1">
        <v>4381.8999999999996</v>
      </c>
      <c r="K453" s="1" t="s">
        <v>10</v>
      </c>
    </row>
    <row r="454" spans="1:11" ht="15" customHeight="1" x14ac:dyDescent="0.25">
      <c r="A454" s="1">
        <v>10453</v>
      </c>
      <c r="B454" s="2">
        <v>45954</v>
      </c>
      <c r="C454" s="1" t="s">
        <v>25</v>
      </c>
      <c r="D454" s="1" t="s">
        <v>39</v>
      </c>
      <c r="E454" s="1" t="s">
        <v>10</v>
      </c>
      <c r="F454" s="1" t="s">
        <v>12</v>
      </c>
      <c r="G454" s="1">
        <v>3</v>
      </c>
      <c r="H454" s="1">
        <v>13854.37</v>
      </c>
      <c r="I454" s="1">
        <v>0.15</v>
      </c>
      <c r="J454" s="1">
        <v>9896.77</v>
      </c>
      <c r="K454" s="1" t="s">
        <v>10</v>
      </c>
    </row>
    <row r="455" spans="1:11" ht="15" customHeight="1" x14ac:dyDescent="0.25">
      <c r="A455" s="1">
        <v>10454</v>
      </c>
      <c r="B455" s="2">
        <v>45871</v>
      </c>
      <c r="C455" s="1" t="s">
        <v>25</v>
      </c>
      <c r="D455" s="1" t="s">
        <v>39</v>
      </c>
      <c r="E455" s="1" t="s">
        <v>10</v>
      </c>
      <c r="F455" s="1" t="s">
        <v>11</v>
      </c>
      <c r="G455" s="1">
        <v>2</v>
      </c>
      <c r="H455" s="1">
        <v>52199.24</v>
      </c>
      <c r="I455" s="1">
        <v>0.1</v>
      </c>
      <c r="J455" s="1">
        <v>2488.85</v>
      </c>
      <c r="K455" s="1" t="s">
        <v>10</v>
      </c>
    </row>
    <row r="456" spans="1:11" ht="15" customHeight="1" x14ac:dyDescent="0.25">
      <c r="A456" s="1">
        <v>10455</v>
      </c>
      <c r="B456" s="2">
        <v>45924</v>
      </c>
      <c r="C456" s="1" t="s">
        <v>21</v>
      </c>
      <c r="D456" s="1" t="s">
        <v>35</v>
      </c>
      <c r="E456" s="1" t="s">
        <v>10</v>
      </c>
      <c r="F456" s="1" t="s">
        <v>12</v>
      </c>
      <c r="G456" s="1">
        <v>1</v>
      </c>
      <c r="H456" s="1">
        <v>17605.060000000001</v>
      </c>
      <c r="I456" s="1">
        <v>0.05</v>
      </c>
      <c r="J456" s="1">
        <v>5655.04</v>
      </c>
      <c r="K456" s="1" t="s">
        <v>10</v>
      </c>
    </row>
    <row r="457" spans="1:11" ht="15" customHeight="1" x14ac:dyDescent="0.25">
      <c r="A457" s="1">
        <v>10456</v>
      </c>
      <c r="B457" s="2">
        <v>45914</v>
      </c>
      <c r="C457" s="1" t="s">
        <v>25</v>
      </c>
      <c r="D457" s="1" t="s">
        <v>36</v>
      </c>
      <c r="E457" s="1" t="s">
        <v>10</v>
      </c>
      <c r="F457" s="1" t="s">
        <v>13</v>
      </c>
      <c r="G457" s="1">
        <v>5</v>
      </c>
      <c r="H457" s="1">
        <v>9257.57</v>
      </c>
      <c r="I457" s="1">
        <v>0.1</v>
      </c>
      <c r="J457" s="1">
        <v>9621.2199999999993</v>
      </c>
      <c r="K457" s="1" t="s">
        <v>10</v>
      </c>
    </row>
    <row r="458" spans="1:11" ht="15" customHeight="1" x14ac:dyDescent="0.25">
      <c r="A458" s="1">
        <v>10457</v>
      </c>
      <c r="B458" s="2">
        <v>45959</v>
      </c>
      <c r="C458" s="1" t="s">
        <v>17</v>
      </c>
      <c r="D458" s="1" t="s">
        <v>39</v>
      </c>
      <c r="E458" s="1" t="s">
        <v>10</v>
      </c>
      <c r="F458" s="1" t="s">
        <v>9</v>
      </c>
      <c r="G458" s="1">
        <v>6</v>
      </c>
      <c r="H458" s="1">
        <v>12813.69</v>
      </c>
      <c r="I458" s="1">
        <v>0</v>
      </c>
      <c r="J458" s="1">
        <v>2202.9</v>
      </c>
      <c r="K458" s="1" t="s">
        <v>10</v>
      </c>
    </row>
    <row r="459" spans="1:11" ht="15" customHeight="1" x14ac:dyDescent="0.25">
      <c r="A459" s="1">
        <v>10458</v>
      </c>
      <c r="B459" s="2">
        <v>45758</v>
      </c>
      <c r="C459" s="1" t="s">
        <v>17</v>
      </c>
      <c r="D459" s="1" t="s">
        <v>37</v>
      </c>
      <c r="E459" s="1" t="s">
        <v>8</v>
      </c>
      <c r="F459" s="1" t="s">
        <v>11</v>
      </c>
      <c r="G459" s="1">
        <v>7</v>
      </c>
      <c r="H459" s="1">
        <v>648.41</v>
      </c>
      <c r="I459" s="1">
        <v>0.25</v>
      </c>
      <c r="J459" s="1">
        <v>1362.86</v>
      </c>
      <c r="K459" s="1" t="s">
        <v>8</v>
      </c>
    </row>
    <row r="460" spans="1:11" ht="15" customHeight="1" x14ac:dyDescent="0.25">
      <c r="A460" s="1">
        <v>10459</v>
      </c>
      <c r="B460" s="2">
        <v>46003</v>
      </c>
      <c r="C460" s="1" t="s">
        <v>21</v>
      </c>
      <c r="D460" s="1" t="s">
        <v>36</v>
      </c>
      <c r="E460" s="1" t="s">
        <v>10</v>
      </c>
      <c r="F460" s="1" t="s">
        <v>12</v>
      </c>
      <c r="G460" s="1">
        <v>4</v>
      </c>
      <c r="H460" s="1">
        <v>54046.1</v>
      </c>
      <c r="I460" s="1">
        <v>0.05</v>
      </c>
      <c r="J460" s="1">
        <v>10610.02</v>
      </c>
      <c r="K460" s="1" t="s">
        <v>10</v>
      </c>
    </row>
    <row r="461" spans="1:11" ht="15" customHeight="1" x14ac:dyDescent="0.25">
      <c r="A461" s="1">
        <v>10460</v>
      </c>
      <c r="B461" s="2">
        <v>45767</v>
      </c>
      <c r="C461" s="1" t="s">
        <v>18</v>
      </c>
      <c r="D461" s="1" t="s">
        <v>36</v>
      </c>
      <c r="E461" s="1" t="s">
        <v>10</v>
      </c>
      <c r="F461" s="1" t="s">
        <v>12</v>
      </c>
      <c r="G461" s="1">
        <v>5</v>
      </c>
      <c r="H461" s="1">
        <v>55063.88</v>
      </c>
      <c r="I461" s="1">
        <v>0</v>
      </c>
      <c r="J461" s="1">
        <v>4148.01</v>
      </c>
      <c r="K461" s="1" t="s">
        <v>10</v>
      </c>
    </row>
    <row r="462" spans="1:11" ht="15" customHeight="1" x14ac:dyDescent="0.25">
      <c r="A462" s="1">
        <v>10461</v>
      </c>
      <c r="B462" s="2">
        <v>45839</v>
      </c>
      <c r="C462" s="1" t="s">
        <v>19</v>
      </c>
      <c r="D462" s="1" t="s">
        <v>38</v>
      </c>
      <c r="E462" s="1" t="s">
        <v>10</v>
      </c>
      <c r="F462" s="1" t="s">
        <v>12</v>
      </c>
      <c r="G462" s="1">
        <v>4</v>
      </c>
      <c r="H462" s="1">
        <v>38862.53</v>
      </c>
      <c r="I462" s="1">
        <v>0.05</v>
      </c>
      <c r="J462" s="1">
        <v>8222.25</v>
      </c>
      <c r="K462" s="1" t="s">
        <v>10</v>
      </c>
    </row>
    <row r="463" spans="1:11" ht="15" customHeight="1" x14ac:dyDescent="0.25">
      <c r="A463" s="1">
        <v>10462</v>
      </c>
      <c r="B463" s="2">
        <v>45970</v>
      </c>
      <c r="C463" s="1" t="s">
        <v>20</v>
      </c>
      <c r="D463" s="1" t="s">
        <v>35</v>
      </c>
      <c r="E463" s="1" t="s">
        <v>10</v>
      </c>
      <c r="F463" s="1" t="s">
        <v>13</v>
      </c>
      <c r="G463" s="1">
        <v>3</v>
      </c>
      <c r="H463" s="1">
        <v>12521.53</v>
      </c>
      <c r="I463" s="1">
        <v>0.15</v>
      </c>
      <c r="J463" s="1">
        <v>352.92</v>
      </c>
      <c r="K463" s="1" t="s">
        <v>10</v>
      </c>
    </row>
    <row r="464" spans="1:11" ht="15" customHeight="1" x14ac:dyDescent="0.25">
      <c r="A464" s="1">
        <v>10463</v>
      </c>
      <c r="B464" s="2">
        <v>45658</v>
      </c>
      <c r="C464" s="1" t="s">
        <v>19</v>
      </c>
      <c r="D464" s="1" t="s">
        <v>39</v>
      </c>
      <c r="E464" s="1" t="s">
        <v>10</v>
      </c>
      <c r="F464" s="1" t="s">
        <v>13</v>
      </c>
      <c r="G464" s="1">
        <v>7</v>
      </c>
      <c r="H464" s="1">
        <v>6724.8</v>
      </c>
      <c r="I464" s="1">
        <v>0.25</v>
      </c>
      <c r="J464" s="1">
        <v>8296.06</v>
      </c>
      <c r="K464" s="1" t="s">
        <v>10</v>
      </c>
    </row>
    <row r="465" spans="1:11" ht="15" customHeight="1" x14ac:dyDescent="0.25">
      <c r="A465" s="1">
        <v>10464</v>
      </c>
      <c r="B465" s="2">
        <v>45976</v>
      </c>
      <c r="C465" s="1" t="s">
        <v>25</v>
      </c>
      <c r="D465" s="1" t="s">
        <v>40</v>
      </c>
      <c r="E465" s="1" t="s">
        <v>10</v>
      </c>
      <c r="F465" s="1" t="s">
        <v>11</v>
      </c>
      <c r="G465" s="1">
        <v>4</v>
      </c>
      <c r="H465" s="1">
        <v>1925.11</v>
      </c>
      <c r="I465" s="1">
        <v>0.25</v>
      </c>
      <c r="J465" s="1">
        <v>3827.41</v>
      </c>
      <c r="K465" s="1" t="s">
        <v>10</v>
      </c>
    </row>
    <row r="466" spans="1:11" ht="15" customHeight="1" x14ac:dyDescent="0.25">
      <c r="A466" s="1">
        <v>10465</v>
      </c>
      <c r="B466" s="2">
        <v>45712</v>
      </c>
      <c r="C466" s="1" t="s">
        <v>20</v>
      </c>
      <c r="D466" s="1" t="s">
        <v>34</v>
      </c>
      <c r="E466" s="1" t="s">
        <v>10</v>
      </c>
      <c r="F466" s="1" t="s">
        <v>11</v>
      </c>
      <c r="G466" s="1">
        <v>3</v>
      </c>
      <c r="H466" s="1">
        <v>12848.24</v>
      </c>
      <c r="I466" s="1">
        <v>0.15</v>
      </c>
      <c r="J466" s="1">
        <v>716.1</v>
      </c>
      <c r="K466" s="1" t="s">
        <v>10</v>
      </c>
    </row>
    <row r="467" spans="1:11" ht="15" customHeight="1" x14ac:dyDescent="0.25">
      <c r="A467" s="1">
        <v>10466</v>
      </c>
      <c r="B467" s="2">
        <v>45806</v>
      </c>
      <c r="C467" s="1" t="s">
        <v>23</v>
      </c>
      <c r="D467" s="1" t="s">
        <v>33</v>
      </c>
      <c r="E467" s="1" t="s">
        <v>8</v>
      </c>
      <c r="F467" s="1" t="s">
        <v>13</v>
      </c>
      <c r="G467" s="1">
        <v>1</v>
      </c>
      <c r="H467" s="1">
        <v>66868.740000000005</v>
      </c>
      <c r="I467" s="1">
        <v>0.25</v>
      </c>
      <c r="J467" s="1">
        <v>7337.26</v>
      </c>
      <c r="K467" s="1" t="s">
        <v>8</v>
      </c>
    </row>
    <row r="468" spans="1:11" ht="15" customHeight="1" x14ac:dyDescent="0.25">
      <c r="A468" s="1">
        <v>10467</v>
      </c>
      <c r="B468" s="2">
        <v>45966</v>
      </c>
      <c r="C468" s="1" t="s">
        <v>21</v>
      </c>
      <c r="D468" s="1" t="s">
        <v>37</v>
      </c>
      <c r="E468" s="1" t="s">
        <v>8</v>
      </c>
      <c r="F468" s="1" t="s">
        <v>11</v>
      </c>
      <c r="G468" s="1">
        <v>4</v>
      </c>
      <c r="H468" s="1">
        <v>18494.490000000002</v>
      </c>
      <c r="I468" s="1">
        <v>0.15</v>
      </c>
      <c r="J468" s="1">
        <v>2927.61</v>
      </c>
      <c r="K468" s="1" t="s">
        <v>8</v>
      </c>
    </row>
    <row r="469" spans="1:11" ht="15" customHeight="1" x14ac:dyDescent="0.25">
      <c r="A469" s="1">
        <v>10468</v>
      </c>
      <c r="B469" s="2">
        <v>45794</v>
      </c>
      <c r="C469" s="1" t="s">
        <v>21</v>
      </c>
      <c r="D469" s="1" t="s">
        <v>40</v>
      </c>
      <c r="E469" s="1" t="s">
        <v>10</v>
      </c>
      <c r="F469" s="1" t="s">
        <v>9</v>
      </c>
      <c r="G469" s="1">
        <v>7</v>
      </c>
      <c r="H469" s="1">
        <v>26893.21</v>
      </c>
      <c r="I469" s="1">
        <v>0</v>
      </c>
      <c r="J469" s="1">
        <v>4672.3500000000004</v>
      </c>
      <c r="K469" s="1" t="s">
        <v>10</v>
      </c>
    </row>
    <row r="470" spans="1:11" ht="15" customHeight="1" x14ac:dyDescent="0.25">
      <c r="A470" s="1">
        <v>10469</v>
      </c>
      <c r="B470" s="2">
        <v>45859</v>
      </c>
      <c r="C470" s="1" t="s">
        <v>18</v>
      </c>
      <c r="D470" s="1" t="s">
        <v>35</v>
      </c>
      <c r="E470" s="1" t="s">
        <v>10</v>
      </c>
      <c r="F470" s="1" t="s">
        <v>9</v>
      </c>
      <c r="G470" s="1">
        <v>5</v>
      </c>
      <c r="H470" s="1">
        <v>8348.24</v>
      </c>
      <c r="I470" s="1">
        <v>0.2</v>
      </c>
      <c r="J470" s="1">
        <v>1012.94</v>
      </c>
      <c r="K470" s="1" t="s">
        <v>10</v>
      </c>
    </row>
    <row r="471" spans="1:11" ht="15" customHeight="1" x14ac:dyDescent="0.25">
      <c r="A471" s="1">
        <v>10470</v>
      </c>
      <c r="B471" s="2">
        <v>45970</v>
      </c>
      <c r="C471" s="1" t="s">
        <v>20</v>
      </c>
      <c r="D471" s="1" t="s">
        <v>34</v>
      </c>
      <c r="E471" s="1" t="s">
        <v>10</v>
      </c>
      <c r="F471" s="1" t="s">
        <v>13</v>
      </c>
      <c r="G471" s="1">
        <v>3</v>
      </c>
      <c r="H471" s="1">
        <v>17065.919999999998</v>
      </c>
      <c r="I471" s="1">
        <v>0.05</v>
      </c>
      <c r="J471" s="1">
        <v>1808.6</v>
      </c>
      <c r="K471" s="1" t="s">
        <v>10</v>
      </c>
    </row>
    <row r="472" spans="1:11" ht="15" customHeight="1" x14ac:dyDescent="0.25">
      <c r="A472" s="1">
        <v>10471</v>
      </c>
      <c r="B472" s="2">
        <v>45774</v>
      </c>
      <c r="C472" s="1" t="s">
        <v>17</v>
      </c>
      <c r="D472" s="1" t="s">
        <v>35</v>
      </c>
      <c r="E472" s="1" t="s">
        <v>10</v>
      </c>
      <c r="F472" s="1" t="s">
        <v>11</v>
      </c>
      <c r="G472" s="1">
        <v>5</v>
      </c>
      <c r="H472" s="1">
        <v>39182.230000000003</v>
      </c>
      <c r="I472" s="1">
        <v>0.15</v>
      </c>
      <c r="J472" s="1">
        <v>3610.83</v>
      </c>
      <c r="K472" s="1" t="s">
        <v>10</v>
      </c>
    </row>
    <row r="473" spans="1:11" ht="15" customHeight="1" x14ac:dyDescent="0.25">
      <c r="A473" s="1">
        <v>10472</v>
      </c>
      <c r="B473" s="2">
        <v>45811</v>
      </c>
      <c r="C473" s="1" t="s">
        <v>20</v>
      </c>
      <c r="D473" s="1" t="s">
        <v>37</v>
      </c>
      <c r="E473" s="1" t="s">
        <v>8</v>
      </c>
      <c r="F473" s="1" t="s">
        <v>12</v>
      </c>
      <c r="G473" s="1">
        <v>7</v>
      </c>
      <c r="H473" s="1">
        <v>45777.57</v>
      </c>
      <c r="I473" s="1">
        <v>0.05</v>
      </c>
      <c r="J473" s="1">
        <v>1122.6300000000001</v>
      </c>
      <c r="K473" s="1" t="s">
        <v>8</v>
      </c>
    </row>
    <row r="474" spans="1:11" ht="15" customHeight="1" x14ac:dyDescent="0.25">
      <c r="A474" s="1">
        <v>10473</v>
      </c>
      <c r="B474" s="2">
        <v>45948</v>
      </c>
      <c r="C474" s="1" t="s">
        <v>25</v>
      </c>
      <c r="D474" s="1" t="s">
        <v>36</v>
      </c>
      <c r="E474" s="1" t="s">
        <v>10</v>
      </c>
      <c r="F474" s="1" t="s">
        <v>9</v>
      </c>
      <c r="G474" s="1">
        <v>2</v>
      </c>
      <c r="H474" s="1">
        <v>18778.75</v>
      </c>
      <c r="I474" s="1">
        <v>0</v>
      </c>
      <c r="J474" s="1">
        <v>10934.37</v>
      </c>
      <c r="K474" s="1" t="s">
        <v>10</v>
      </c>
    </row>
    <row r="475" spans="1:11" ht="15" customHeight="1" x14ac:dyDescent="0.25">
      <c r="A475" s="1">
        <v>10474</v>
      </c>
      <c r="B475" s="2">
        <v>45720</v>
      </c>
      <c r="C475" s="1" t="s">
        <v>17</v>
      </c>
      <c r="D475" s="1" t="s">
        <v>34</v>
      </c>
      <c r="E475" s="1" t="s">
        <v>10</v>
      </c>
      <c r="F475" s="1" t="s">
        <v>13</v>
      </c>
      <c r="G475" s="1">
        <v>3</v>
      </c>
      <c r="H475" s="1">
        <v>4801.05</v>
      </c>
      <c r="I475" s="1">
        <v>0.2</v>
      </c>
      <c r="J475" s="1">
        <v>122.26</v>
      </c>
      <c r="K475" s="1" t="s">
        <v>10</v>
      </c>
    </row>
    <row r="476" spans="1:11" ht="15" customHeight="1" x14ac:dyDescent="0.25">
      <c r="A476" s="1">
        <v>10475</v>
      </c>
      <c r="B476" s="2">
        <v>45901</v>
      </c>
      <c r="C476" s="1" t="s">
        <v>22</v>
      </c>
      <c r="D476" s="1" t="s">
        <v>36</v>
      </c>
      <c r="E476" s="1" t="s">
        <v>10</v>
      </c>
      <c r="F476" s="1" t="s">
        <v>11</v>
      </c>
      <c r="G476" s="1">
        <v>4</v>
      </c>
      <c r="H476" s="1">
        <v>29631.95</v>
      </c>
      <c r="I476" s="1">
        <v>0</v>
      </c>
      <c r="J476" s="1">
        <v>5832.13</v>
      </c>
      <c r="K476" s="1" t="s">
        <v>10</v>
      </c>
    </row>
    <row r="477" spans="1:11" ht="15" customHeight="1" x14ac:dyDescent="0.25">
      <c r="A477" s="1">
        <v>10476</v>
      </c>
      <c r="B477" s="2">
        <v>45682</v>
      </c>
      <c r="C477" s="1" t="s">
        <v>22</v>
      </c>
      <c r="D477" s="1" t="s">
        <v>37</v>
      </c>
      <c r="E477" s="1" t="s">
        <v>8</v>
      </c>
      <c r="F477" s="1" t="s">
        <v>13</v>
      </c>
      <c r="G477" s="1">
        <v>3</v>
      </c>
      <c r="H477" s="1">
        <v>17948.150000000001</v>
      </c>
      <c r="I477" s="1">
        <v>0.25</v>
      </c>
      <c r="J477" s="1">
        <v>1522.81</v>
      </c>
      <c r="K477" s="1" t="s">
        <v>8</v>
      </c>
    </row>
    <row r="478" spans="1:11" ht="15" customHeight="1" x14ac:dyDescent="0.25">
      <c r="A478" s="1">
        <v>10477</v>
      </c>
      <c r="B478" s="2">
        <v>45747</v>
      </c>
      <c r="C478" s="1" t="s">
        <v>23</v>
      </c>
      <c r="D478" s="1" t="s">
        <v>40</v>
      </c>
      <c r="E478" s="1" t="s">
        <v>10</v>
      </c>
      <c r="F478" s="1" t="s">
        <v>12</v>
      </c>
      <c r="G478" s="1">
        <v>5</v>
      </c>
      <c r="H478" s="1">
        <v>16856.77</v>
      </c>
      <c r="I478" s="1">
        <v>0.05</v>
      </c>
      <c r="J478" s="1">
        <v>3726.77</v>
      </c>
      <c r="K478" s="1" t="s">
        <v>10</v>
      </c>
    </row>
    <row r="479" spans="1:11" ht="15" customHeight="1" x14ac:dyDescent="0.25">
      <c r="A479" s="1">
        <v>10478</v>
      </c>
      <c r="B479" s="2">
        <v>45732</v>
      </c>
      <c r="C479" s="1" t="s">
        <v>22</v>
      </c>
      <c r="D479" s="1" t="s">
        <v>37</v>
      </c>
      <c r="E479" s="1" t="s">
        <v>8</v>
      </c>
      <c r="F479" s="1" t="s">
        <v>9</v>
      </c>
      <c r="G479" s="1">
        <v>1</v>
      </c>
      <c r="H479" s="1">
        <v>72009.78</v>
      </c>
      <c r="I479" s="1">
        <v>0.2</v>
      </c>
      <c r="J479" s="1">
        <v>11116.41</v>
      </c>
      <c r="K479" s="1" t="s">
        <v>8</v>
      </c>
    </row>
    <row r="480" spans="1:11" ht="15" customHeight="1" x14ac:dyDescent="0.25">
      <c r="A480" s="1">
        <v>10479</v>
      </c>
      <c r="B480" s="2">
        <v>45951</v>
      </c>
      <c r="C480" s="1" t="s">
        <v>21</v>
      </c>
      <c r="D480" s="1" t="s">
        <v>40</v>
      </c>
      <c r="E480" s="1" t="s">
        <v>10</v>
      </c>
      <c r="F480" s="1" t="s">
        <v>13</v>
      </c>
      <c r="G480" s="1">
        <v>3</v>
      </c>
      <c r="H480" s="1">
        <v>46414.39</v>
      </c>
      <c r="I480" s="1">
        <v>0.25</v>
      </c>
      <c r="J480" s="1">
        <v>1982.25</v>
      </c>
      <c r="K480" s="1" t="s">
        <v>10</v>
      </c>
    </row>
    <row r="481" spans="1:11" ht="15" customHeight="1" x14ac:dyDescent="0.25">
      <c r="A481" s="1">
        <v>10480</v>
      </c>
      <c r="B481" s="2">
        <v>45867</v>
      </c>
      <c r="C481" s="1" t="s">
        <v>20</v>
      </c>
      <c r="D481" s="1" t="s">
        <v>34</v>
      </c>
      <c r="E481" s="1" t="s">
        <v>10</v>
      </c>
      <c r="F481" s="1" t="s">
        <v>13</v>
      </c>
      <c r="G481" s="1">
        <v>4</v>
      </c>
      <c r="H481" s="1">
        <v>41987.44</v>
      </c>
      <c r="I481" s="1">
        <v>0.2</v>
      </c>
      <c r="J481" s="1">
        <v>11591.7</v>
      </c>
      <c r="K481" s="1" t="s">
        <v>10</v>
      </c>
    </row>
    <row r="482" spans="1:11" ht="15" customHeight="1" x14ac:dyDescent="0.25">
      <c r="A482" s="1">
        <v>10481</v>
      </c>
      <c r="B482" s="2">
        <v>46004</v>
      </c>
      <c r="C482" s="1" t="s">
        <v>22</v>
      </c>
      <c r="D482" s="1" t="s">
        <v>34</v>
      </c>
      <c r="E482" s="1" t="s">
        <v>10</v>
      </c>
      <c r="F482" s="1" t="s">
        <v>13</v>
      </c>
      <c r="G482" s="1">
        <v>2</v>
      </c>
      <c r="H482" s="1">
        <v>31475.25</v>
      </c>
      <c r="I482" s="1">
        <v>0.25</v>
      </c>
      <c r="J482" s="1">
        <v>2509.2399999999998</v>
      </c>
      <c r="K482" s="1" t="s">
        <v>10</v>
      </c>
    </row>
    <row r="483" spans="1:11" ht="15" customHeight="1" x14ac:dyDescent="0.25">
      <c r="A483" s="1">
        <v>10482</v>
      </c>
      <c r="B483" s="2">
        <v>45674</v>
      </c>
      <c r="C483" s="1" t="s">
        <v>19</v>
      </c>
      <c r="D483" s="1" t="s">
        <v>39</v>
      </c>
      <c r="E483" s="1" t="s">
        <v>10</v>
      </c>
      <c r="F483" s="1" t="s">
        <v>12</v>
      </c>
      <c r="G483" s="1">
        <v>6</v>
      </c>
      <c r="H483" s="1">
        <v>32456.35</v>
      </c>
      <c r="I483" s="1">
        <v>0</v>
      </c>
      <c r="J483" s="1">
        <v>8911.7099999999991</v>
      </c>
      <c r="K483" s="1" t="s">
        <v>10</v>
      </c>
    </row>
    <row r="484" spans="1:11" ht="15" customHeight="1" x14ac:dyDescent="0.25">
      <c r="A484" s="1">
        <v>10483</v>
      </c>
      <c r="B484" s="2">
        <v>45785</v>
      </c>
      <c r="C484" s="1" t="s">
        <v>18</v>
      </c>
      <c r="D484" s="1" t="s">
        <v>35</v>
      </c>
      <c r="E484" s="1" t="s">
        <v>10</v>
      </c>
      <c r="F484" s="1" t="s">
        <v>13</v>
      </c>
      <c r="G484" s="1">
        <v>1</v>
      </c>
      <c r="H484" s="1">
        <v>40797.42</v>
      </c>
      <c r="I484" s="1">
        <v>0.15</v>
      </c>
      <c r="J484" s="1">
        <v>6582.79</v>
      </c>
      <c r="K484" s="1" t="s">
        <v>10</v>
      </c>
    </row>
    <row r="485" spans="1:11" ht="15" customHeight="1" x14ac:dyDescent="0.25">
      <c r="A485" s="1">
        <v>10484</v>
      </c>
      <c r="B485" s="2">
        <v>46021</v>
      </c>
      <c r="C485" s="1" t="s">
        <v>19</v>
      </c>
      <c r="D485" s="1" t="s">
        <v>39</v>
      </c>
      <c r="E485" s="1" t="s">
        <v>10</v>
      </c>
      <c r="F485" s="1" t="s">
        <v>12</v>
      </c>
      <c r="G485" s="1">
        <v>2</v>
      </c>
      <c r="H485" s="1">
        <v>52384.02</v>
      </c>
      <c r="I485" s="1">
        <v>0.05</v>
      </c>
      <c r="J485" s="1">
        <v>10619.52</v>
      </c>
      <c r="K485" s="1" t="s">
        <v>10</v>
      </c>
    </row>
    <row r="486" spans="1:11" ht="15" customHeight="1" x14ac:dyDescent="0.25">
      <c r="A486" s="1">
        <v>10485</v>
      </c>
      <c r="B486" s="2">
        <v>45908</v>
      </c>
      <c r="C486" s="1" t="s">
        <v>22</v>
      </c>
      <c r="D486" s="1" t="s">
        <v>35</v>
      </c>
      <c r="E486" s="1" t="s">
        <v>10</v>
      </c>
      <c r="F486" s="1" t="s">
        <v>12</v>
      </c>
      <c r="G486" s="1">
        <v>3</v>
      </c>
      <c r="H486" s="1">
        <v>52809.88</v>
      </c>
      <c r="I486" s="1">
        <v>0.1</v>
      </c>
      <c r="J486" s="1">
        <v>6670.22</v>
      </c>
      <c r="K486" s="1" t="s">
        <v>10</v>
      </c>
    </row>
    <row r="487" spans="1:11" ht="15" customHeight="1" x14ac:dyDescent="0.25">
      <c r="A487" s="1">
        <v>10486</v>
      </c>
      <c r="B487" s="2">
        <v>45836</v>
      </c>
      <c r="C487" s="1" t="s">
        <v>23</v>
      </c>
      <c r="D487" s="1" t="s">
        <v>39</v>
      </c>
      <c r="E487" s="1" t="s">
        <v>10</v>
      </c>
      <c r="F487" s="1" t="s">
        <v>12</v>
      </c>
      <c r="G487" s="1">
        <v>5</v>
      </c>
      <c r="H487" s="1">
        <v>13291.2</v>
      </c>
      <c r="I487" s="1">
        <v>0.1</v>
      </c>
      <c r="J487" s="1">
        <v>6437.98</v>
      </c>
      <c r="K487" s="1" t="s">
        <v>10</v>
      </c>
    </row>
    <row r="488" spans="1:11" ht="15" customHeight="1" x14ac:dyDescent="0.25">
      <c r="A488" s="1">
        <v>10487</v>
      </c>
      <c r="B488" s="2">
        <v>45839</v>
      </c>
      <c r="C488" s="1" t="s">
        <v>18</v>
      </c>
      <c r="D488" s="1" t="s">
        <v>36</v>
      </c>
      <c r="E488" s="1" t="s">
        <v>10</v>
      </c>
      <c r="F488" s="1" t="s">
        <v>9</v>
      </c>
      <c r="G488" s="1">
        <v>7</v>
      </c>
      <c r="H488" s="1">
        <v>37758.400000000001</v>
      </c>
      <c r="I488" s="1">
        <v>0</v>
      </c>
      <c r="J488" s="1">
        <v>2385.7199999999998</v>
      </c>
      <c r="K488" s="1" t="s">
        <v>10</v>
      </c>
    </row>
    <row r="489" spans="1:11" ht="15" customHeight="1" x14ac:dyDescent="0.25">
      <c r="A489" s="1">
        <v>10488</v>
      </c>
      <c r="B489" s="2">
        <v>45809</v>
      </c>
      <c r="C489" s="1" t="s">
        <v>25</v>
      </c>
      <c r="D489" s="1" t="s">
        <v>34</v>
      </c>
      <c r="E489" s="1" t="s">
        <v>10</v>
      </c>
      <c r="F489" s="1" t="s">
        <v>9</v>
      </c>
      <c r="G489" s="1">
        <v>5</v>
      </c>
      <c r="H489" s="1">
        <v>31190.880000000001</v>
      </c>
      <c r="I489" s="1">
        <v>0.05</v>
      </c>
      <c r="J489" s="1">
        <v>2036.44</v>
      </c>
      <c r="K489" s="1" t="s">
        <v>10</v>
      </c>
    </row>
    <row r="490" spans="1:11" ht="15" customHeight="1" x14ac:dyDescent="0.25">
      <c r="A490" s="1">
        <v>10489</v>
      </c>
      <c r="B490" s="2">
        <v>45682</v>
      </c>
      <c r="C490" s="1" t="s">
        <v>19</v>
      </c>
      <c r="D490" s="1" t="s">
        <v>40</v>
      </c>
      <c r="E490" s="1" t="s">
        <v>10</v>
      </c>
      <c r="F490" s="1" t="s">
        <v>13</v>
      </c>
      <c r="G490" s="1">
        <v>4</v>
      </c>
      <c r="H490" s="1">
        <v>65354.26</v>
      </c>
      <c r="I490" s="1">
        <v>0.05</v>
      </c>
      <c r="J490" s="1">
        <v>11002.05</v>
      </c>
      <c r="K490" s="1" t="s">
        <v>10</v>
      </c>
    </row>
    <row r="491" spans="1:11" ht="15" customHeight="1" x14ac:dyDescent="0.25">
      <c r="A491" s="1">
        <v>10490</v>
      </c>
      <c r="B491" s="2">
        <v>45837</v>
      </c>
      <c r="C491" s="1" t="s">
        <v>23</v>
      </c>
      <c r="D491" s="1" t="s">
        <v>35</v>
      </c>
      <c r="E491" s="1" t="s">
        <v>10</v>
      </c>
      <c r="F491" s="1" t="s">
        <v>13</v>
      </c>
      <c r="G491" s="1">
        <v>5</v>
      </c>
      <c r="H491" s="1">
        <v>47540.71</v>
      </c>
      <c r="I491" s="1">
        <v>0</v>
      </c>
      <c r="J491" s="1">
        <v>3967.67</v>
      </c>
      <c r="K491" s="1" t="s">
        <v>10</v>
      </c>
    </row>
    <row r="492" spans="1:11" ht="15" customHeight="1" x14ac:dyDescent="0.25">
      <c r="A492" s="1">
        <v>10491</v>
      </c>
      <c r="B492" s="2">
        <v>45855</v>
      </c>
      <c r="C492" s="1" t="s">
        <v>20</v>
      </c>
      <c r="D492" s="1" t="s">
        <v>37</v>
      </c>
      <c r="E492" s="1" t="s">
        <v>8</v>
      </c>
      <c r="F492" s="1" t="s">
        <v>9</v>
      </c>
      <c r="G492" s="1">
        <v>1</v>
      </c>
      <c r="H492" s="1">
        <v>40171.550000000003</v>
      </c>
      <c r="I492" s="1">
        <v>0.05</v>
      </c>
      <c r="J492" s="1">
        <v>4496.38</v>
      </c>
      <c r="K492" s="1" t="s">
        <v>8</v>
      </c>
    </row>
    <row r="493" spans="1:11" ht="15" customHeight="1" x14ac:dyDescent="0.25">
      <c r="A493" s="1">
        <v>10492</v>
      </c>
      <c r="B493" s="2">
        <v>46001</v>
      </c>
      <c r="C493" s="1" t="s">
        <v>20</v>
      </c>
      <c r="D493" s="1" t="s">
        <v>35</v>
      </c>
      <c r="E493" s="1" t="s">
        <v>10</v>
      </c>
      <c r="F493" s="1" t="s">
        <v>11</v>
      </c>
      <c r="G493" s="1">
        <v>5</v>
      </c>
      <c r="H493" s="1">
        <v>9096.9</v>
      </c>
      <c r="I493" s="1">
        <v>0.15</v>
      </c>
      <c r="J493" s="1">
        <v>9129.89</v>
      </c>
      <c r="K493" s="1" t="s">
        <v>10</v>
      </c>
    </row>
    <row r="494" spans="1:11" ht="15" customHeight="1" x14ac:dyDescent="0.25">
      <c r="A494" s="1">
        <v>10493</v>
      </c>
      <c r="B494" s="2">
        <v>45818</v>
      </c>
      <c r="C494" s="1" t="s">
        <v>19</v>
      </c>
      <c r="D494" s="1" t="s">
        <v>40</v>
      </c>
      <c r="E494" s="1" t="s">
        <v>10</v>
      </c>
      <c r="F494" s="1" t="s">
        <v>9</v>
      </c>
      <c r="G494" s="1">
        <v>4</v>
      </c>
      <c r="H494" s="1">
        <v>45620.02</v>
      </c>
      <c r="I494" s="1">
        <v>0</v>
      </c>
      <c r="J494" s="1">
        <v>4098.9399999999996</v>
      </c>
      <c r="K494" s="1" t="s">
        <v>10</v>
      </c>
    </row>
    <row r="495" spans="1:11" ht="15" customHeight="1" x14ac:dyDescent="0.25">
      <c r="A495" s="1">
        <v>10494</v>
      </c>
      <c r="B495" s="2">
        <v>45834</v>
      </c>
      <c r="C495" s="1" t="s">
        <v>22</v>
      </c>
      <c r="D495" s="1" t="s">
        <v>39</v>
      </c>
      <c r="E495" s="1" t="s">
        <v>10</v>
      </c>
      <c r="F495" s="1" t="s">
        <v>12</v>
      </c>
      <c r="G495" s="1">
        <v>6</v>
      </c>
      <c r="H495" s="1">
        <v>9231.69</v>
      </c>
      <c r="I495" s="1">
        <v>0.15</v>
      </c>
      <c r="J495" s="1">
        <v>11427.15</v>
      </c>
      <c r="K495" s="1" t="s">
        <v>10</v>
      </c>
    </row>
    <row r="496" spans="1:11" ht="15" customHeight="1" x14ac:dyDescent="0.25">
      <c r="A496" s="1">
        <v>10495</v>
      </c>
      <c r="B496" s="2">
        <v>45942</v>
      </c>
      <c r="C496" s="1" t="s">
        <v>23</v>
      </c>
      <c r="D496" s="1" t="s">
        <v>35</v>
      </c>
      <c r="E496" s="1" t="s">
        <v>10</v>
      </c>
      <c r="F496" s="1" t="s">
        <v>9</v>
      </c>
      <c r="G496" s="1">
        <v>3</v>
      </c>
      <c r="H496" s="1">
        <v>25621.89</v>
      </c>
      <c r="I496" s="1">
        <v>0.05</v>
      </c>
      <c r="J496" s="1">
        <v>8868.24</v>
      </c>
      <c r="K496" s="1" t="s">
        <v>10</v>
      </c>
    </row>
    <row r="497" spans="1:11" ht="15" customHeight="1" x14ac:dyDescent="0.25">
      <c r="A497" s="1">
        <v>10496</v>
      </c>
      <c r="B497" s="2">
        <v>45720</v>
      </c>
      <c r="C497" s="1" t="s">
        <v>20</v>
      </c>
      <c r="D497" s="1" t="s">
        <v>33</v>
      </c>
      <c r="E497" s="1" t="s">
        <v>8</v>
      </c>
      <c r="F497" s="1" t="s">
        <v>12</v>
      </c>
      <c r="G497" s="1">
        <v>7</v>
      </c>
      <c r="H497" s="1">
        <v>11141.73</v>
      </c>
      <c r="I497" s="1">
        <v>0</v>
      </c>
      <c r="J497" s="1">
        <v>7189.28</v>
      </c>
      <c r="K497" s="1" t="s">
        <v>8</v>
      </c>
    </row>
    <row r="498" spans="1:11" ht="15" customHeight="1" x14ac:dyDescent="0.25">
      <c r="A498" s="1">
        <v>10497</v>
      </c>
      <c r="B498" s="2">
        <v>45807</v>
      </c>
      <c r="C498" s="1" t="s">
        <v>25</v>
      </c>
      <c r="D498" s="1" t="s">
        <v>36</v>
      </c>
      <c r="E498" s="1" t="s">
        <v>10</v>
      </c>
      <c r="F498" s="1" t="s">
        <v>13</v>
      </c>
      <c r="G498" s="1">
        <v>3</v>
      </c>
      <c r="H498" s="1">
        <v>52059.49</v>
      </c>
      <c r="I498" s="1">
        <v>0.05</v>
      </c>
      <c r="J498" s="1">
        <v>10576.7</v>
      </c>
      <c r="K498" s="1" t="s">
        <v>10</v>
      </c>
    </row>
    <row r="499" spans="1:11" ht="15" customHeight="1" x14ac:dyDescent="0.25">
      <c r="A499" s="1">
        <v>10498</v>
      </c>
      <c r="B499" s="2">
        <v>45811</v>
      </c>
      <c r="C499" s="1" t="s">
        <v>17</v>
      </c>
      <c r="D499" s="1" t="s">
        <v>34</v>
      </c>
      <c r="E499" s="1" t="s">
        <v>10</v>
      </c>
      <c r="F499" s="1" t="s">
        <v>11</v>
      </c>
      <c r="G499" s="1">
        <v>5</v>
      </c>
      <c r="H499" s="1">
        <v>15865.78</v>
      </c>
      <c r="I499" s="1">
        <v>0</v>
      </c>
      <c r="J499" s="1">
        <v>642.79</v>
      </c>
      <c r="K499" s="1" t="s">
        <v>10</v>
      </c>
    </row>
    <row r="500" spans="1:11" ht="15" customHeight="1" x14ac:dyDescent="0.25">
      <c r="A500" s="1">
        <v>10499</v>
      </c>
      <c r="B500" s="2">
        <v>45813</v>
      </c>
      <c r="C500" s="1" t="s">
        <v>22</v>
      </c>
      <c r="D500" s="1" t="s">
        <v>40</v>
      </c>
      <c r="E500" s="1" t="s">
        <v>10</v>
      </c>
      <c r="F500" s="1" t="s">
        <v>13</v>
      </c>
      <c r="G500" s="1">
        <v>2</v>
      </c>
      <c r="H500" s="1">
        <v>29693.52</v>
      </c>
      <c r="I500" s="1">
        <v>0.05</v>
      </c>
      <c r="J500" s="1">
        <v>3121.9</v>
      </c>
      <c r="K500" s="1" t="s">
        <v>10</v>
      </c>
    </row>
    <row r="501" spans="1:11" ht="15" customHeight="1" x14ac:dyDescent="0.25">
      <c r="A501" s="1">
        <v>10500</v>
      </c>
      <c r="B501" s="2">
        <v>45706</v>
      </c>
      <c r="C501" s="1" t="s">
        <v>23</v>
      </c>
      <c r="D501" s="1" t="s">
        <v>34</v>
      </c>
      <c r="E501" s="1" t="s">
        <v>10</v>
      </c>
      <c r="F501" s="1" t="s">
        <v>12</v>
      </c>
      <c r="G501" s="1">
        <v>3</v>
      </c>
      <c r="H501" s="1">
        <v>67227.77</v>
      </c>
      <c r="I501" s="1">
        <v>0.15</v>
      </c>
      <c r="J501" s="1">
        <v>5607.18</v>
      </c>
      <c r="K501" s="1" t="s">
        <v>10</v>
      </c>
    </row>
    <row r="502" spans="1:11" ht="15" customHeight="1" x14ac:dyDescent="0.25">
      <c r="A502" s="1">
        <v>10501</v>
      </c>
      <c r="B502" s="2">
        <v>45994</v>
      </c>
      <c r="C502" s="1" t="s">
        <v>25</v>
      </c>
      <c r="D502" s="1" t="s">
        <v>33</v>
      </c>
      <c r="E502" s="1" t="s">
        <v>8</v>
      </c>
      <c r="F502" s="1" t="s">
        <v>12</v>
      </c>
      <c r="G502" s="1">
        <v>6</v>
      </c>
      <c r="H502" s="1">
        <v>15721.57</v>
      </c>
      <c r="I502" s="1">
        <v>0.15</v>
      </c>
      <c r="J502" s="1">
        <v>2762.39</v>
      </c>
      <c r="K502" s="1" t="s">
        <v>8</v>
      </c>
    </row>
    <row r="503" spans="1:11" ht="15" customHeight="1" x14ac:dyDescent="0.25">
      <c r="A503" s="1">
        <v>10502</v>
      </c>
      <c r="B503" s="2">
        <v>45741</v>
      </c>
      <c r="C503" s="1" t="s">
        <v>23</v>
      </c>
      <c r="D503" s="1" t="s">
        <v>35</v>
      </c>
      <c r="E503" s="1" t="s">
        <v>10</v>
      </c>
      <c r="F503" s="1" t="s">
        <v>12</v>
      </c>
      <c r="G503" s="1">
        <v>5</v>
      </c>
      <c r="I503" s="1">
        <v>0.05</v>
      </c>
      <c r="J503" s="1">
        <v>8939.67</v>
      </c>
      <c r="K503" s="1" t="s">
        <v>10</v>
      </c>
    </row>
    <row r="504" spans="1:11" ht="15" customHeight="1" x14ac:dyDescent="0.25">
      <c r="A504" s="1">
        <v>10503</v>
      </c>
      <c r="B504" s="2">
        <v>46018</v>
      </c>
      <c r="C504" s="1" t="s">
        <v>18</v>
      </c>
      <c r="D504" s="1" t="s">
        <v>35</v>
      </c>
      <c r="E504" s="1" t="s">
        <v>10</v>
      </c>
      <c r="F504" s="1" t="s">
        <v>11</v>
      </c>
      <c r="G504" s="1">
        <v>7</v>
      </c>
      <c r="H504" s="1">
        <v>31735.74</v>
      </c>
      <c r="I504" s="1">
        <v>0</v>
      </c>
      <c r="J504" s="1">
        <v>11034.54</v>
      </c>
      <c r="K504" s="1" t="s">
        <v>10</v>
      </c>
    </row>
    <row r="505" spans="1:11" ht="15" customHeight="1" x14ac:dyDescent="0.25">
      <c r="A505" s="1">
        <v>10504</v>
      </c>
      <c r="B505" s="2">
        <v>45834</v>
      </c>
      <c r="C505" s="1" t="s">
        <v>25</v>
      </c>
      <c r="D505" s="1" t="s">
        <v>37</v>
      </c>
      <c r="E505" s="1" t="s">
        <v>8</v>
      </c>
      <c r="F505" s="1" t="s">
        <v>9</v>
      </c>
      <c r="G505" s="1">
        <v>4</v>
      </c>
      <c r="H505" s="1">
        <v>1850.24</v>
      </c>
      <c r="I505" s="1">
        <v>0.1</v>
      </c>
      <c r="J505" s="1">
        <v>5114.05</v>
      </c>
      <c r="K505" s="1" t="s">
        <v>8</v>
      </c>
    </row>
    <row r="506" spans="1:11" ht="15" customHeight="1" x14ac:dyDescent="0.25">
      <c r="A506" s="1">
        <v>10505</v>
      </c>
      <c r="B506" s="2">
        <v>45805</v>
      </c>
      <c r="C506" s="1" t="s">
        <v>22</v>
      </c>
      <c r="D506" s="1" t="s">
        <v>33</v>
      </c>
      <c r="E506" s="1" t="s">
        <v>8</v>
      </c>
      <c r="F506" s="1" t="s">
        <v>13</v>
      </c>
      <c r="G506" s="1">
        <v>6</v>
      </c>
      <c r="H506" s="1">
        <v>59560.480000000003</v>
      </c>
      <c r="I506" s="1">
        <v>0.15</v>
      </c>
      <c r="J506" s="1">
        <v>4138.4799999999996</v>
      </c>
      <c r="K506" s="1" t="s">
        <v>8</v>
      </c>
    </row>
    <row r="507" spans="1:11" ht="15" customHeight="1" x14ac:dyDescent="0.25">
      <c r="A507" s="1">
        <v>10506</v>
      </c>
      <c r="B507" s="2">
        <v>45775</v>
      </c>
      <c r="C507" s="1" t="s">
        <v>18</v>
      </c>
      <c r="D507" s="1" t="s">
        <v>40</v>
      </c>
      <c r="E507" s="1" t="s">
        <v>10</v>
      </c>
      <c r="F507" s="1" t="s">
        <v>13</v>
      </c>
      <c r="G507" s="1">
        <v>5</v>
      </c>
      <c r="H507" s="1">
        <v>5643.92</v>
      </c>
      <c r="I507" s="1">
        <v>0.15</v>
      </c>
      <c r="J507" s="1">
        <v>11540.53</v>
      </c>
      <c r="K507" s="1" t="s">
        <v>10</v>
      </c>
    </row>
    <row r="508" spans="1:11" ht="15" customHeight="1" x14ac:dyDescent="0.25">
      <c r="A508" s="1">
        <v>10507</v>
      </c>
      <c r="B508" s="2">
        <v>45999</v>
      </c>
      <c r="C508" s="1" t="s">
        <v>22</v>
      </c>
      <c r="D508" s="1" t="s">
        <v>37</v>
      </c>
      <c r="E508" s="1" t="s">
        <v>8</v>
      </c>
      <c r="F508" s="1" t="s">
        <v>9</v>
      </c>
      <c r="G508" s="1">
        <v>6</v>
      </c>
      <c r="H508" s="1">
        <v>35832</v>
      </c>
      <c r="I508" s="1">
        <v>0.25</v>
      </c>
      <c r="J508" s="1">
        <v>5365.99</v>
      </c>
      <c r="K508" s="1" t="s">
        <v>8</v>
      </c>
    </row>
    <row r="509" spans="1:11" ht="15" customHeight="1" x14ac:dyDescent="0.25">
      <c r="A509" s="1">
        <v>10508</v>
      </c>
      <c r="B509" s="2">
        <v>45720</v>
      </c>
      <c r="C509" s="1" t="s">
        <v>20</v>
      </c>
      <c r="D509" s="1" t="s">
        <v>36</v>
      </c>
      <c r="E509" s="1" t="s">
        <v>10</v>
      </c>
      <c r="F509" s="1" t="s">
        <v>13</v>
      </c>
      <c r="G509" s="1">
        <v>3</v>
      </c>
      <c r="H509" s="1">
        <v>42270.53</v>
      </c>
      <c r="I509" s="1">
        <v>0.1</v>
      </c>
      <c r="J509" s="1">
        <v>5894.13</v>
      </c>
      <c r="K509" s="1" t="s">
        <v>10</v>
      </c>
    </row>
    <row r="510" spans="1:11" ht="15" customHeight="1" x14ac:dyDescent="0.25">
      <c r="A510" s="1">
        <v>10509</v>
      </c>
      <c r="B510" s="2">
        <v>45846</v>
      </c>
      <c r="C510" s="1" t="s">
        <v>17</v>
      </c>
      <c r="D510" s="1" t="s">
        <v>37</v>
      </c>
      <c r="E510" s="1" t="s">
        <v>8</v>
      </c>
      <c r="F510" s="1" t="s">
        <v>11</v>
      </c>
      <c r="G510" s="1">
        <v>7</v>
      </c>
      <c r="H510" s="1">
        <v>47317.77</v>
      </c>
      <c r="I510" s="1">
        <v>0.05</v>
      </c>
      <c r="J510" s="1">
        <v>4252.22</v>
      </c>
      <c r="K510" s="1" t="s">
        <v>8</v>
      </c>
    </row>
    <row r="511" spans="1:11" ht="15" customHeight="1" x14ac:dyDescent="0.25">
      <c r="A511" s="1">
        <v>10510</v>
      </c>
      <c r="B511" s="2">
        <v>46017</v>
      </c>
      <c r="C511" s="1" t="s">
        <v>22</v>
      </c>
      <c r="D511" s="1" t="s">
        <v>38</v>
      </c>
      <c r="E511" s="1" t="s">
        <v>10</v>
      </c>
      <c r="F511" s="1" t="s">
        <v>13</v>
      </c>
      <c r="G511" s="1">
        <v>4</v>
      </c>
      <c r="H511" s="1">
        <v>51803.06</v>
      </c>
      <c r="I511" s="1">
        <v>0</v>
      </c>
      <c r="J511" s="1">
        <v>10919.1</v>
      </c>
      <c r="K511" s="1" t="s">
        <v>10</v>
      </c>
    </row>
    <row r="512" spans="1:11" ht="15" customHeight="1" x14ac:dyDescent="0.25">
      <c r="A512" s="1">
        <v>10511</v>
      </c>
      <c r="B512" s="2">
        <v>45706</v>
      </c>
      <c r="C512" s="1" t="s">
        <v>22</v>
      </c>
      <c r="D512" s="1" t="s">
        <v>40</v>
      </c>
      <c r="E512" s="1" t="s">
        <v>10</v>
      </c>
      <c r="F512" s="1" t="s">
        <v>12</v>
      </c>
      <c r="G512" s="1">
        <v>5</v>
      </c>
      <c r="H512" s="1">
        <v>19368.79</v>
      </c>
      <c r="I512" s="1">
        <v>0.25</v>
      </c>
      <c r="J512" s="1">
        <v>6849.02</v>
      </c>
      <c r="K512" s="1" t="s">
        <v>10</v>
      </c>
    </row>
    <row r="513" spans="1:11" ht="15" customHeight="1" x14ac:dyDescent="0.25">
      <c r="A513" s="1">
        <v>10512</v>
      </c>
      <c r="B513" s="2">
        <v>45984</v>
      </c>
      <c r="C513" s="1" t="s">
        <v>20</v>
      </c>
      <c r="D513" s="1" t="s">
        <v>38</v>
      </c>
      <c r="E513" s="1" t="s">
        <v>10</v>
      </c>
      <c r="F513" s="1" t="s">
        <v>9</v>
      </c>
      <c r="G513" s="1">
        <v>1</v>
      </c>
      <c r="H513" s="1">
        <v>1243.42</v>
      </c>
      <c r="I513" s="1">
        <v>0.05</v>
      </c>
      <c r="J513" s="1">
        <v>9157.99</v>
      </c>
      <c r="K513" s="1" t="s">
        <v>10</v>
      </c>
    </row>
    <row r="514" spans="1:11" ht="15" customHeight="1" x14ac:dyDescent="0.25">
      <c r="A514" s="1">
        <v>10513</v>
      </c>
      <c r="B514" s="2">
        <v>45914</v>
      </c>
      <c r="C514" s="1" t="s">
        <v>21</v>
      </c>
      <c r="D514" s="1" t="s">
        <v>33</v>
      </c>
      <c r="E514" s="1" t="s">
        <v>8</v>
      </c>
      <c r="F514" s="1" t="s">
        <v>11</v>
      </c>
      <c r="G514" s="1">
        <v>4</v>
      </c>
      <c r="H514" s="1">
        <v>54396.55</v>
      </c>
      <c r="I514" s="1">
        <v>0.2</v>
      </c>
      <c r="J514" s="1">
        <v>9751.09</v>
      </c>
      <c r="K514" s="1" t="s">
        <v>8</v>
      </c>
    </row>
    <row r="515" spans="1:11" ht="15" customHeight="1" x14ac:dyDescent="0.25">
      <c r="A515" s="1">
        <v>10514</v>
      </c>
      <c r="B515" s="2">
        <v>45881</v>
      </c>
      <c r="C515" s="1" t="s">
        <v>20</v>
      </c>
      <c r="D515" s="1" t="s">
        <v>39</v>
      </c>
      <c r="E515" s="1" t="s">
        <v>10</v>
      </c>
      <c r="F515" s="1" t="s">
        <v>9</v>
      </c>
      <c r="G515" s="1">
        <v>1</v>
      </c>
      <c r="H515" s="1">
        <v>40406.42</v>
      </c>
      <c r="I515" s="1">
        <v>0.15</v>
      </c>
      <c r="J515" s="1">
        <v>4135.1000000000004</v>
      </c>
      <c r="K515" s="1" t="s">
        <v>10</v>
      </c>
    </row>
    <row r="516" spans="1:11" ht="15" customHeight="1" x14ac:dyDescent="0.25">
      <c r="A516" s="1">
        <v>10515</v>
      </c>
      <c r="B516" s="2">
        <v>45798</v>
      </c>
      <c r="C516" s="1" t="s">
        <v>18</v>
      </c>
      <c r="D516" s="1" t="s">
        <v>38</v>
      </c>
      <c r="E516" s="1" t="s">
        <v>10</v>
      </c>
      <c r="F516" s="1" t="s">
        <v>11</v>
      </c>
      <c r="G516" s="1">
        <v>6</v>
      </c>
      <c r="H516" s="1">
        <v>62790.77</v>
      </c>
      <c r="I516" s="1">
        <v>0.2</v>
      </c>
      <c r="J516" s="1">
        <v>5232.6499999999996</v>
      </c>
      <c r="K516" s="1" t="s">
        <v>10</v>
      </c>
    </row>
    <row r="517" spans="1:11" ht="15" customHeight="1" x14ac:dyDescent="0.25">
      <c r="A517" s="1">
        <v>10516</v>
      </c>
      <c r="B517" s="2">
        <v>45872</v>
      </c>
      <c r="C517" s="1" t="s">
        <v>20</v>
      </c>
      <c r="D517" s="1" t="s">
        <v>36</v>
      </c>
      <c r="E517" s="1" t="s">
        <v>10</v>
      </c>
      <c r="F517" s="1" t="s">
        <v>12</v>
      </c>
      <c r="G517" s="1">
        <v>2</v>
      </c>
      <c r="H517" s="1">
        <v>61693.43</v>
      </c>
      <c r="I517" s="1">
        <v>0.15</v>
      </c>
      <c r="J517" s="1">
        <v>10189.24</v>
      </c>
      <c r="K517" s="1" t="s">
        <v>10</v>
      </c>
    </row>
    <row r="518" spans="1:11" ht="15" customHeight="1" x14ac:dyDescent="0.25">
      <c r="A518" s="1">
        <v>10517</v>
      </c>
      <c r="B518" s="2">
        <v>45868</v>
      </c>
      <c r="C518" s="1" t="s">
        <v>20</v>
      </c>
      <c r="D518" s="1" t="s">
        <v>37</v>
      </c>
      <c r="E518" s="1" t="s">
        <v>8</v>
      </c>
      <c r="F518" s="1" t="s">
        <v>9</v>
      </c>
      <c r="G518" s="1">
        <v>4</v>
      </c>
      <c r="H518" s="1">
        <v>63327.8</v>
      </c>
      <c r="I518" s="1">
        <v>0.15</v>
      </c>
      <c r="J518" s="1">
        <v>4390.8999999999996</v>
      </c>
      <c r="K518" s="1" t="s">
        <v>8</v>
      </c>
    </row>
    <row r="519" spans="1:11" ht="15" customHeight="1" x14ac:dyDescent="0.25">
      <c r="A519" s="1">
        <v>10518</v>
      </c>
      <c r="B519" s="2">
        <v>45975</v>
      </c>
      <c r="C519" s="1" t="s">
        <v>17</v>
      </c>
      <c r="D519" s="1" t="s">
        <v>39</v>
      </c>
      <c r="E519" s="1" t="s">
        <v>10</v>
      </c>
      <c r="F519" s="1" t="s">
        <v>13</v>
      </c>
      <c r="G519" s="1">
        <v>6</v>
      </c>
      <c r="H519" s="1">
        <v>36639.550000000003</v>
      </c>
      <c r="I519" s="1">
        <v>0.2</v>
      </c>
      <c r="J519" s="1">
        <v>9537.52</v>
      </c>
      <c r="K519" s="1" t="s">
        <v>10</v>
      </c>
    </row>
    <row r="520" spans="1:11" ht="15" customHeight="1" x14ac:dyDescent="0.25">
      <c r="A520" s="1">
        <v>10519</v>
      </c>
      <c r="B520" s="2">
        <v>45689</v>
      </c>
      <c r="C520" s="1" t="s">
        <v>20</v>
      </c>
      <c r="D520" s="1" t="s">
        <v>37</v>
      </c>
      <c r="E520" s="1" t="s">
        <v>8</v>
      </c>
      <c r="F520" s="1" t="s">
        <v>11</v>
      </c>
      <c r="G520" s="1">
        <v>1</v>
      </c>
      <c r="H520" s="1">
        <v>25355.32</v>
      </c>
      <c r="I520" s="1">
        <v>0.2</v>
      </c>
      <c r="J520" s="1">
        <v>11294.86</v>
      </c>
      <c r="K520" s="1" t="s">
        <v>8</v>
      </c>
    </row>
    <row r="521" spans="1:11" ht="15" customHeight="1" x14ac:dyDescent="0.25">
      <c r="A521" s="1">
        <v>10520</v>
      </c>
      <c r="B521" s="2">
        <v>45815</v>
      </c>
      <c r="C521" s="1" t="s">
        <v>23</v>
      </c>
      <c r="D521" s="1" t="s">
        <v>38</v>
      </c>
      <c r="E521" s="1" t="s">
        <v>10</v>
      </c>
      <c r="F521" s="1" t="s">
        <v>9</v>
      </c>
      <c r="G521" s="1">
        <v>3</v>
      </c>
      <c r="H521" s="1">
        <v>59471.09</v>
      </c>
      <c r="I521" s="1">
        <v>0.05</v>
      </c>
      <c r="J521" s="1">
        <v>7497.36</v>
      </c>
      <c r="K521" s="1" t="s">
        <v>10</v>
      </c>
    </row>
    <row r="522" spans="1:11" ht="15" customHeight="1" x14ac:dyDescent="0.25">
      <c r="A522" s="1">
        <v>10521</v>
      </c>
      <c r="B522" s="2">
        <v>45942</v>
      </c>
      <c r="C522" s="1" t="s">
        <v>22</v>
      </c>
      <c r="D522" s="1" t="s">
        <v>37</v>
      </c>
      <c r="E522" s="1" t="s">
        <v>8</v>
      </c>
      <c r="F522" s="1" t="s">
        <v>13</v>
      </c>
      <c r="G522" s="1">
        <v>3</v>
      </c>
      <c r="H522" s="1">
        <v>34121.410000000003</v>
      </c>
      <c r="I522" s="1">
        <v>0.25</v>
      </c>
      <c r="J522" s="1">
        <v>8912.4500000000007</v>
      </c>
      <c r="K522" s="1" t="s">
        <v>8</v>
      </c>
    </row>
    <row r="523" spans="1:11" ht="15" customHeight="1" x14ac:dyDescent="0.25">
      <c r="A523" s="1">
        <v>10522</v>
      </c>
      <c r="B523" s="2">
        <v>45962</v>
      </c>
      <c r="C523" s="1" t="s">
        <v>23</v>
      </c>
      <c r="D523" s="1" t="s">
        <v>33</v>
      </c>
      <c r="E523" s="1" t="s">
        <v>8</v>
      </c>
      <c r="F523" s="1" t="s">
        <v>9</v>
      </c>
      <c r="G523" s="1">
        <v>2</v>
      </c>
      <c r="H523" s="1">
        <v>14166.44</v>
      </c>
      <c r="I523" s="1">
        <v>0.25</v>
      </c>
      <c r="J523" s="1">
        <v>9670.91</v>
      </c>
      <c r="K523" s="1" t="s">
        <v>8</v>
      </c>
    </row>
    <row r="524" spans="1:11" ht="15" customHeight="1" x14ac:dyDescent="0.25">
      <c r="A524" s="1">
        <v>10523</v>
      </c>
      <c r="B524" s="2">
        <v>45943</v>
      </c>
      <c r="C524" s="1" t="s">
        <v>17</v>
      </c>
      <c r="D524" s="1" t="s">
        <v>39</v>
      </c>
      <c r="E524" s="1" t="s">
        <v>10</v>
      </c>
      <c r="F524" s="1" t="s">
        <v>9</v>
      </c>
      <c r="G524" s="1">
        <v>4</v>
      </c>
      <c r="H524" s="1">
        <v>64195.56</v>
      </c>
      <c r="I524" s="1">
        <v>0.2</v>
      </c>
      <c r="J524" s="1">
        <v>10148.219999999999</v>
      </c>
      <c r="K524" s="1" t="s">
        <v>10</v>
      </c>
    </row>
    <row r="525" spans="1:11" ht="15" customHeight="1" x14ac:dyDescent="0.25">
      <c r="A525" s="1">
        <v>10524</v>
      </c>
      <c r="B525" s="2">
        <v>45801</v>
      </c>
      <c r="C525" s="1" t="s">
        <v>19</v>
      </c>
      <c r="D525" s="1" t="s">
        <v>33</v>
      </c>
      <c r="E525" s="1" t="s">
        <v>8</v>
      </c>
      <c r="F525" s="1" t="s">
        <v>9</v>
      </c>
      <c r="G525" s="1">
        <v>4</v>
      </c>
      <c r="H525" s="1">
        <v>66250.710000000006</v>
      </c>
      <c r="I525" s="1">
        <v>0.05</v>
      </c>
      <c r="J525" s="1">
        <v>4770.8900000000003</v>
      </c>
      <c r="K525" s="1" t="s">
        <v>8</v>
      </c>
    </row>
    <row r="526" spans="1:11" ht="15" customHeight="1" x14ac:dyDescent="0.25">
      <c r="A526" s="1">
        <v>10525</v>
      </c>
      <c r="B526" s="2">
        <v>45676</v>
      </c>
      <c r="C526" s="1" t="s">
        <v>21</v>
      </c>
      <c r="D526" s="1" t="s">
        <v>38</v>
      </c>
      <c r="E526" s="1" t="s">
        <v>10</v>
      </c>
      <c r="F526" s="1" t="s">
        <v>11</v>
      </c>
      <c r="G526" s="1">
        <v>4</v>
      </c>
      <c r="H526" s="1">
        <v>35240.080000000002</v>
      </c>
      <c r="I526" s="1">
        <v>0.25</v>
      </c>
      <c r="J526" s="1">
        <v>662.6</v>
      </c>
      <c r="K526" s="1" t="s">
        <v>10</v>
      </c>
    </row>
    <row r="527" spans="1:11" ht="15" customHeight="1" x14ac:dyDescent="0.25">
      <c r="A527" s="1">
        <v>10526</v>
      </c>
      <c r="B527" s="2">
        <v>45675</v>
      </c>
      <c r="C527" s="1" t="s">
        <v>23</v>
      </c>
      <c r="D527" s="1" t="s">
        <v>33</v>
      </c>
      <c r="E527" s="1" t="s">
        <v>8</v>
      </c>
      <c r="F527" s="1" t="s">
        <v>13</v>
      </c>
      <c r="G527" s="1">
        <v>6</v>
      </c>
      <c r="H527" s="1">
        <v>6139.63</v>
      </c>
      <c r="I527" s="1">
        <v>0.05</v>
      </c>
      <c r="J527" s="1">
        <v>4852.42</v>
      </c>
      <c r="K527" s="1" t="s">
        <v>8</v>
      </c>
    </row>
    <row r="528" spans="1:11" ht="15" customHeight="1" x14ac:dyDescent="0.25">
      <c r="A528" s="1">
        <v>10527</v>
      </c>
      <c r="B528" s="2">
        <v>45914</v>
      </c>
      <c r="C528" s="1" t="s">
        <v>17</v>
      </c>
      <c r="D528" s="1" t="s">
        <v>36</v>
      </c>
      <c r="E528" s="1" t="s">
        <v>10</v>
      </c>
      <c r="F528" s="1" t="s">
        <v>12</v>
      </c>
      <c r="G528" s="1">
        <v>7</v>
      </c>
      <c r="H528" s="1">
        <v>29393.040000000001</v>
      </c>
      <c r="I528" s="1">
        <v>0.05</v>
      </c>
      <c r="J528" s="1">
        <v>8101.39</v>
      </c>
      <c r="K528" s="1" t="s">
        <v>10</v>
      </c>
    </row>
    <row r="529" spans="1:11" ht="15" customHeight="1" x14ac:dyDescent="0.25">
      <c r="A529" s="1">
        <v>10528</v>
      </c>
      <c r="B529" s="2">
        <v>45735</v>
      </c>
      <c r="C529" s="1" t="s">
        <v>18</v>
      </c>
      <c r="D529" s="1" t="s">
        <v>38</v>
      </c>
      <c r="E529" s="1" t="s">
        <v>10</v>
      </c>
      <c r="F529" s="1" t="s">
        <v>11</v>
      </c>
      <c r="G529" s="1">
        <v>7</v>
      </c>
      <c r="H529" s="1">
        <v>60363.56</v>
      </c>
      <c r="I529" s="1">
        <v>0.15</v>
      </c>
      <c r="J529" s="1">
        <v>5431.69</v>
      </c>
      <c r="K529" s="1" t="s">
        <v>10</v>
      </c>
    </row>
    <row r="530" spans="1:11" ht="15" customHeight="1" x14ac:dyDescent="0.25">
      <c r="A530" s="1">
        <v>10529</v>
      </c>
      <c r="B530" s="2">
        <v>45832</v>
      </c>
      <c r="C530" s="1" t="s">
        <v>19</v>
      </c>
      <c r="D530" s="1" t="s">
        <v>38</v>
      </c>
      <c r="E530" s="1" t="s">
        <v>10</v>
      </c>
      <c r="F530" s="1" t="s">
        <v>11</v>
      </c>
      <c r="G530" s="1">
        <v>2</v>
      </c>
      <c r="H530" s="1">
        <v>67682.17</v>
      </c>
      <c r="I530" s="1">
        <v>0.25</v>
      </c>
      <c r="J530" s="1">
        <v>9000.11</v>
      </c>
      <c r="K530" s="1" t="s">
        <v>10</v>
      </c>
    </row>
    <row r="531" spans="1:11" ht="15" customHeight="1" x14ac:dyDescent="0.25">
      <c r="A531" s="1">
        <v>10530</v>
      </c>
      <c r="B531" s="2">
        <v>45851</v>
      </c>
      <c r="C531" s="1" t="s">
        <v>17</v>
      </c>
      <c r="D531" s="1" t="s">
        <v>38</v>
      </c>
      <c r="E531" s="1" t="s">
        <v>10</v>
      </c>
      <c r="F531" s="1" t="s">
        <v>11</v>
      </c>
      <c r="G531" s="1">
        <v>4</v>
      </c>
      <c r="H531" s="1">
        <v>15658.72</v>
      </c>
      <c r="I531" s="1">
        <v>0.25</v>
      </c>
      <c r="J531" s="1">
        <v>4315.9399999999996</v>
      </c>
      <c r="K531" s="1" t="s">
        <v>10</v>
      </c>
    </row>
    <row r="532" spans="1:11" ht="15" customHeight="1" x14ac:dyDescent="0.25">
      <c r="A532" s="1">
        <v>10531</v>
      </c>
      <c r="B532" s="2">
        <v>45770</v>
      </c>
      <c r="C532" s="1" t="s">
        <v>17</v>
      </c>
      <c r="D532" s="1" t="s">
        <v>40</v>
      </c>
      <c r="E532" s="1" t="s">
        <v>10</v>
      </c>
      <c r="F532" s="1" t="s">
        <v>12</v>
      </c>
      <c r="G532" s="1">
        <v>6</v>
      </c>
      <c r="H532" s="1">
        <v>5489.53</v>
      </c>
      <c r="I532" s="1">
        <v>0.15</v>
      </c>
      <c r="J532" s="1">
        <v>7635.19</v>
      </c>
      <c r="K532" s="1" t="s">
        <v>10</v>
      </c>
    </row>
    <row r="533" spans="1:11" ht="15" customHeight="1" x14ac:dyDescent="0.25">
      <c r="A533" s="1">
        <v>10532</v>
      </c>
      <c r="B533" s="2">
        <v>45771</v>
      </c>
      <c r="C533" s="1" t="s">
        <v>21</v>
      </c>
      <c r="D533" s="1" t="s">
        <v>37</v>
      </c>
      <c r="E533" s="1" t="s">
        <v>8</v>
      </c>
      <c r="F533" s="1" t="s">
        <v>13</v>
      </c>
      <c r="G533" s="1">
        <v>3</v>
      </c>
      <c r="H533" s="1">
        <v>65862.61</v>
      </c>
      <c r="I533" s="1">
        <v>0.2</v>
      </c>
      <c r="J533" s="1">
        <v>2277.7199999999998</v>
      </c>
      <c r="K533" s="1" t="s">
        <v>8</v>
      </c>
    </row>
    <row r="534" spans="1:11" ht="15" customHeight="1" x14ac:dyDescent="0.25">
      <c r="A534" s="1">
        <v>10533</v>
      </c>
      <c r="B534" s="2">
        <v>45879</v>
      </c>
      <c r="C534" s="1" t="s">
        <v>22</v>
      </c>
      <c r="D534" s="1" t="s">
        <v>40</v>
      </c>
      <c r="E534" s="1" t="s">
        <v>10</v>
      </c>
      <c r="F534" s="1" t="s">
        <v>13</v>
      </c>
      <c r="G534" s="1">
        <v>1</v>
      </c>
      <c r="H534" s="1">
        <v>29510.67</v>
      </c>
      <c r="I534" s="1">
        <v>0.15</v>
      </c>
      <c r="J534" s="1">
        <v>9004.9599999999991</v>
      </c>
      <c r="K534" s="1" t="s">
        <v>10</v>
      </c>
    </row>
    <row r="535" spans="1:11" ht="15" customHeight="1" x14ac:dyDescent="0.25">
      <c r="A535" s="1">
        <v>10534</v>
      </c>
      <c r="B535" s="2">
        <v>45823</v>
      </c>
      <c r="C535" s="1" t="s">
        <v>23</v>
      </c>
      <c r="D535" s="1" t="s">
        <v>40</v>
      </c>
      <c r="E535" s="1" t="s">
        <v>10</v>
      </c>
      <c r="F535" s="1" t="s">
        <v>13</v>
      </c>
      <c r="G535" s="1">
        <v>6</v>
      </c>
      <c r="H535" s="1">
        <v>40861.19</v>
      </c>
      <c r="I535" s="1">
        <v>0.25</v>
      </c>
      <c r="J535" s="1">
        <v>6571.07</v>
      </c>
      <c r="K535" s="1" t="s">
        <v>10</v>
      </c>
    </row>
    <row r="536" spans="1:11" ht="15" customHeight="1" x14ac:dyDescent="0.25">
      <c r="A536" s="1">
        <v>10535</v>
      </c>
      <c r="B536" s="2">
        <v>45976</v>
      </c>
      <c r="C536" s="1" t="s">
        <v>18</v>
      </c>
      <c r="D536" s="1" t="s">
        <v>36</v>
      </c>
      <c r="E536" s="1" t="s">
        <v>10</v>
      </c>
      <c r="F536" s="1" t="s">
        <v>9</v>
      </c>
      <c r="G536" s="1">
        <v>7</v>
      </c>
      <c r="H536" s="1">
        <v>72620.899999999994</v>
      </c>
      <c r="I536" s="1">
        <v>0.25</v>
      </c>
      <c r="J536" s="1">
        <v>2488.5700000000002</v>
      </c>
      <c r="K536" s="1" t="s">
        <v>10</v>
      </c>
    </row>
    <row r="537" spans="1:11" ht="15" customHeight="1" x14ac:dyDescent="0.25">
      <c r="A537" s="1">
        <v>10536</v>
      </c>
      <c r="B537" s="2">
        <v>45789</v>
      </c>
      <c r="C537" s="1" t="s">
        <v>25</v>
      </c>
      <c r="D537" s="1" t="s">
        <v>39</v>
      </c>
      <c r="E537" s="1" t="s">
        <v>10</v>
      </c>
      <c r="F537" s="1" t="s">
        <v>9</v>
      </c>
      <c r="G537" s="1">
        <v>7</v>
      </c>
      <c r="H537" s="1">
        <v>5459.07</v>
      </c>
      <c r="I537" s="1">
        <v>0.2</v>
      </c>
      <c r="J537" s="1">
        <v>3538.34</v>
      </c>
      <c r="K537" s="1" t="s">
        <v>10</v>
      </c>
    </row>
    <row r="538" spans="1:11" ht="15" customHeight="1" x14ac:dyDescent="0.25">
      <c r="A538" s="1">
        <v>10537</v>
      </c>
      <c r="B538" s="2">
        <v>45921</v>
      </c>
      <c r="C538" s="1" t="s">
        <v>23</v>
      </c>
      <c r="D538" s="1" t="s">
        <v>37</v>
      </c>
      <c r="E538" s="1" t="s">
        <v>8</v>
      </c>
      <c r="F538" s="1" t="s">
        <v>9</v>
      </c>
      <c r="G538" s="1">
        <v>3</v>
      </c>
      <c r="H538" s="1">
        <v>48799.69</v>
      </c>
      <c r="I538" s="1">
        <v>0.15</v>
      </c>
      <c r="J538" s="1">
        <v>8995.8700000000008</v>
      </c>
      <c r="K538" s="1" t="s">
        <v>8</v>
      </c>
    </row>
    <row r="539" spans="1:11" ht="15" customHeight="1" x14ac:dyDescent="0.25">
      <c r="A539" s="1">
        <v>10538</v>
      </c>
      <c r="B539" s="2">
        <v>45712</v>
      </c>
      <c r="C539" s="1" t="s">
        <v>25</v>
      </c>
      <c r="D539" s="1" t="s">
        <v>33</v>
      </c>
      <c r="E539" s="1" t="s">
        <v>8</v>
      </c>
      <c r="F539" s="1" t="s">
        <v>12</v>
      </c>
      <c r="G539" s="1">
        <v>3</v>
      </c>
      <c r="H539" s="1">
        <v>6020.85</v>
      </c>
      <c r="I539" s="1">
        <v>0</v>
      </c>
      <c r="J539" s="1">
        <v>5817.08</v>
      </c>
      <c r="K539" s="1" t="s">
        <v>8</v>
      </c>
    </row>
    <row r="540" spans="1:11" ht="15" customHeight="1" x14ac:dyDescent="0.25">
      <c r="A540" s="1">
        <v>10539</v>
      </c>
      <c r="B540" s="2">
        <v>46016</v>
      </c>
      <c r="C540" s="1" t="s">
        <v>17</v>
      </c>
      <c r="D540" s="1" t="s">
        <v>35</v>
      </c>
      <c r="E540" s="1" t="s">
        <v>10</v>
      </c>
      <c r="F540" s="1" t="s">
        <v>9</v>
      </c>
      <c r="G540" s="1">
        <v>1</v>
      </c>
      <c r="H540" s="1">
        <v>28472.44</v>
      </c>
      <c r="I540" s="1">
        <v>0</v>
      </c>
      <c r="J540" s="1">
        <v>2631.58</v>
      </c>
      <c r="K540" s="1" t="s">
        <v>10</v>
      </c>
    </row>
    <row r="541" spans="1:11" ht="15" customHeight="1" x14ac:dyDescent="0.25">
      <c r="A541" s="1">
        <v>10540</v>
      </c>
      <c r="B541" s="2">
        <v>45788</v>
      </c>
      <c r="C541" s="1" t="s">
        <v>20</v>
      </c>
      <c r="D541" s="1" t="s">
        <v>38</v>
      </c>
      <c r="E541" s="1" t="s">
        <v>10</v>
      </c>
      <c r="F541" s="1" t="s">
        <v>12</v>
      </c>
      <c r="G541" s="1">
        <v>3</v>
      </c>
      <c r="H541" s="1">
        <v>60384.18</v>
      </c>
      <c r="I541" s="1">
        <v>0.2</v>
      </c>
      <c r="J541" s="1">
        <v>11608.89</v>
      </c>
      <c r="K541" s="1" t="s">
        <v>10</v>
      </c>
    </row>
    <row r="542" spans="1:11" ht="15" customHeight="1" x14ac:dyDescent="0.25">
      <c r="A542" s="1">
        <v>10541</v>
      </c>
      <c r="B542" s="2">
        <v>45945</v>
      </c>
      <c r="C542" s="1" t="s">
        <v>18</v>
      </c>
      <c r="D542" s="1" t="s">
        <v>33</v>
      </c>
      <c r="E542" s="1" t="s">
        <v>8</v>
      </c>
      <c r="F542" s="1" t="s">
        <v>13</v>
      </c>
      <c r="G542" s="1">
        <v>2</v>
      </c>
      <c r="H542" s="1">
        <v>32793.68</v>
      </c>
      <c r="I542" s="1">
        <v>0.15</v>
      </c>
      <c r="J542" s="1">
        <v>8595.74</v>
      </c>
      <c r="K542" s="1" t="s">
        <v>8</v>
      </c>
    </row>
    <row r="543" spans="1:11" ht="15" customHeight="1" x14ac:dyDescent="0.25">
      <c r="A543" s="1">
        <v>10542</v>
      </c>
      <c r="B543" s="2">
        <v>45923</v>
      </c>
      <c r="C543" s="1" t="s">
        <v>19</v>
      </c>
      <c r="D543" s="1" t="s">
        <v>38</v>
      </c>
      <c r="E543" s="1" t="s">
        <v>10</v>
      </c>
      <c r="F543" s="1" t="s">
        <v>9</v>
      </c>
      <c r="G543" s="1">
        <v>1</v>
      </c>
      <c r="H543" s="1">
        <v>74790.09</v>
      </c>
      <c r="I543" s="1">
        <v>0.15</v>
      </c>
      <c r="J543" s="1">
        <v>11487.76</v>
      </c>
      <c r="K543" s="1" t="s">
        <v>10</v>
      </c>
    </row>
    <row r="544" spans="1:11" ht="15" customHeight="1" x14ac:dyDescent="0.25">
      <c r="A544" s="1">
        <v>10543</v>
      </c>
      <c r="B544" s="2">
        <v>45819</v>
      </c>
      <c r="C544" s="1" t="s">
        <v>20</v>
      </c>
      <c r="D544" s="1" t="s">
        <v>36</v>
      </c>
      <c r="E544" s="1" t="s">
        <v>10</v>
      </c>
      <c r="F544" s="1" t="s">
        <v>9</v>
      </c>
      <c r="G544" s="1">
        <v>3</v>
      </c>
      <c r="H544" s="1">
        <v>42149.919999999998</v>
      </c>
      <c r="I544" s="1">
        <v>0.05</v>
      </c>
      <c r="J544" s="1">
        <v>5153.91</v>
      </c>
      <c r="K544" s="1" t="s">
        <v>10</v>
      </c>
    </row>
    <row r="545" spans="1:11" ht="15" customHeight="1" x14ac:dyDescent="0.25">
      <c r="A545" s="1">
        <v>10544</v>
      </c>
      <c r="B545" s="2">
        <v>45744</v>
      </c>
      <c r="C545" s="1" t="s">
        <v>20</v>
      </c>
      <c r="D545" s="1" t="s">
        <v>38</v>
      </c>
      <c r="E545" s="1" t="s">
        <v>10</v>
      </c>
      <c r="F545" s="1" t="s">
        <v>11</v>
      </c>
      <c r="G545" s="1">
        <v>5</v>
      </c>
      <c r="H545" s="1">
        <v>24426.58</v>
      </c>
      <c r="I545" s="1">
        <v>0.25</v>
      </c>
      <c r="J545" s="1">
        <v>5727.45</v>
      </c>
      <c r="K545" s="1" t="s">
        <v>10</v>
      </c>
    </row>
    <row r="546" spans="1:11" ht="15" customHeight="1" x14ac:dyDescent="0.25">
      <c r="A546" s="1">
        <v>10545</v>
      </c>
      <c r="B546" s="2">
        <v>45712</v>
      </c>
      <c r="C546" s="1" t="s">
        <v>23</v>
      </c>
      <c r="D546" s="1" t="s">
        <v>40</v>
      </c>
      <c r="E546" s="1" t="s">
        <v>10</v>
      </c>
      <c r="F546" s="1" t="s">
        <v>12</v>
      </c>
      <c r="G546" s="1">
        <v>6</v>
      </c>
      <c r="H546" s="1">
        <v>16898.29</v>
      </c>
      <c r="I546" s="1">
        <v>0.1</v>
      </c>
      <c r="J546" s="1">
        <v>10780.56</v>
      </c>
      <c r="K546" s="1" t="s">
        <v>10</v>
      </c>
    </row>
    <row r="547" spans="1:11" ht="15" customHeight="1" x14ac:dyDescent="0.25">
      <c r="A547" s="1">
        <v>10546</v>
      </c>
      <c r="B547" s="2">
        <v>45945</v>
      </c>
      <c r="C547" s="1" t="s">
        <v>18</v>
      </c>
      <c r="D547" s="1" t="s">
        <v>37</v>
      </c>
      <c r="E547" s="1" t="s">
        <v>8</v>
      </c>
      <c r="F547" s="1" t="s">
        <v>13</v>
      </c>
      <c r="G547" s="1">
        <v>3</v>
      </c>
      <c r="H547" s="1">
        <v>26613.78</v>
      </c>
      <c r="I547" s="1">
        <v>0.2</v>
      </c>
      <c r="J547" s="1">
        <v>6324.34</v>
      </c>
      <c r="K547" s="1" t="s">
        <v>8</v>
      </c>
    </row>
    <row r="548" spans="1:11" ht="15" customHeight="1" x14ac:dyDescent="0.25">
      <c r="A548" s="1">
        <v>10547</v>
      </c>
      <c r="B548" s="2">
        <v>45835</v>
      </c>
      <c r="C548" s="1" t="s">
        <v>22</v>
      </c>
      <c r="D548" s="1" t="s">
        <v>35</v>
      </c>
      <c r="E548" s="1" t="s">
        <v>10</v>
      </c>
      <c r="F548" s="1" t="s">
        <v>11</v>
      </c>
      <c r="G548" s="1">
        <v>2</v>
      </c>
      <c r="H548" s="1">
        <v>28253.73</v>
      </c>
      <c r="I548" s="1">
        <v>0.1</v>
      </c>
      <c r="J548" s="1">
        <v>8501.98</v>
      </c>
      <c r="K548" s="1" t="s">
        <v>10</v>
      </c>
    </row>
    <row r="549" spans="1:11" ht="15" customHeight="1" x14ac:dyDescent="0.25">
      <c r="A549" s="1">
        <v>10548</v>
      </c>
      <c r="B549" s="2">
        <v>46006</v>
      </c>
      <c r="C549" s="1" t="s">
        <v>17</v>
      </c>
      <c r="D549" s="1" t="s">
        <v>34</v>
      </c>
      <c r="E549" s="1" t="s">
        <v>10</v>
      </c>
      <c r="F549" s="1" t="s">
        <v>11</v>
      </c>
      <c r="G549" s="1">
        <v>4</v>
      </c>
      <c r="H549" s="1">
        <v>5619.17</v>
      </c>
      <c r="I549" s="1">
        <v>0.1</v>
      </c>
      <c r="J549" s="1">
        <v>3063.47</v>
      </c>
      <c r="K549" s="1" t="s">
        <v>10</v>
      </c>
    </row>
    <row r="550" spans="1:11" ht="15" customHeight="1" x14ac:dyDescent="0.25">
      <c r="A550" s="1">
        <v>10549</v>
      </c>
      <c r="B550" s="2">
        <v>45665</v>
      </c>
      <c r="C550" s="1" t="s">
        <v>17</v>
      </c>
      <c r="D550" s="1" t="s">
        <v>38</v>
      </c>
      <c r="E550" s="1" t="s">
        <v>10</v>
      </c>
      <c r="F550" s="1" t="s">
        <v>13</v>
      </c>
      <c r="G550" s="1">
        <v>3</v>
      </c>
      <c r="H550" s="1">
        <v>28033.279999999999</v>
      </c>
      <c r="I550" s="1">
        <v>0.2</v>
      </c>
      <c r="J550" s="1">
        <v>5388.38</v>
      </c>
      <c r="K550" s="1" t="s">
        <v>10</v>
      </c>
    </row>
    <row r="551" spans="1:11" ht="15" customHeight="1" x14ac:dyDescent="0.25">
      <c r="A551" s="1">
        <v>10550</v>
      </c>
      <c r="B551" s="2">
        <v>45978</v>
      </c>
      <c r="C551" s="1" t="s">
        <v>17</v>
      </c>
      <c r="D551" s="1" t="s">
        <v>33</v>
      </c>
      <c r="E551" s="1" t="s">
        <v>8</v>
      </c>
      <c r="F551" s="1" t="s">
        <v>11</v>
      </c>
      <c r="G551" s="1">
        <v>7</v>
      </c>
      <c r="H551" s="1">
        <v>35085.769999999997</v>
      </c>
      <c r="I551" s="1">
        <v>0.15</v>
      </c>
      <c r="J551" s="1">
        <v>1525.23</v>
      </c>
      <c r="K551" s="1" t="s">
        <v>8</v>
      </c>
    </row>
    <row r="552" spans="1:11" ht="15" customHeight="1" x14ac:dyDescent="0.25">
      <c r="A552" s="1">
        <v>10551</v>
      </c>
      <c r="B552" s="2">
        <v>45970</v>
      </c>
      <c r="C552" s="1" t="s">
        <v>17</v>
      </c>
      <c r="D552" s="1" t="s">
        <v>40</v>
      </c>
      <c r="E552" s="1" t="s">
        <v>10</v>
      </c>
      <c r="F552" s="1" t="s">
        <v>12</v>
      </c>
      <c r="G552" s="1">
        <v>7</v>
      </c>
      <c r="H552" s="1">
        <v>54343.96</v>
      </c>
      <c r="I552" s="1">
        <v>0.2</v>
      </c>
      <c r="J552" s="1">
        <v>2511.46</v>
      </c>
      <c r="K552" s="1" t="s">
        <v>10</v>
      </c>
    </row>
    <row r="553" spans="1:11" ht="15" customHeight="1" x14ac:dyDescent="0.25">
      <c r="A553" s="1">
        <v>10552</v>
      </c>
      <c r="B553" s="2">
        <v>45904</v>
      </c>
      <c r="C553" s="1" t="s">
        <v>23</v>
      </c>
      <c r="D553" s="1" t="s">
        <v>34</v>
      </c>
      <c r="E553" s="1" t="s">
        <v>10</v>
      </c>
      <c r="F553" s="1" t="s">
        <v>12</v>
      </c>
      <c r="G553" s="1">
        <v>7</v>
      </c>
      <c r="H553" s="1">
        <v>49426.35</v>
      </c>
      <c r="I553" s="1">
        <v>0.1</v>
      </c>
      <c r="J553" s="1">
        <v>61.27</v>
      </c>
      <c r="K553" s="1" t="s">
        <v>10</v>
      </c>
    </row>
    <row r="554" spans="1:11" ht="15" customHeight="1" x14ac:dyDescent="0.25">
      <c r="A554" s="1">
        <v>10553</v>
      </c>
      <c r="B554" s="2">
        <v>45980</v>
      </c>
      <c r="C554" s="1" t="s">
        <v>25</v>
      </c>
      <c r="D554" s="1" t="s">
        <v>35</v>
      </c>
      <c r="E554" s="1" t="s">
        <v>10</v>
      </c>
      <c r="F554" s="1" t="s">
        <v>9</v>
      </c>
      <c r="G554" s="1">
        <v>4</v>
      </c>
      <c r="H554" s="1">
        <v>53303.040000000001</v>
      </c>
      <c r="I554" s="1">
        <v>0.25</v>
      </c>
      <c r="J554" s="1">
        <v>519.22</v>
      </c>
      <c r="K554" s="1" t="s">
        <v>10</v>
      </c>
    </row>
    <row r="555" spans="1:11" ht="15" customHeight="1" x14ac:dyDescent="0.25">
      <c r="A555" s="1">
        <v>10554</v>
      </c>
      <c r="B555" s="2">
        <v>45912</v>
      </c>
      <c r="C555" s="1" t="s">
        <v>17</v>
      </c>
      <c r="D555" s="1" t="s">
        <v>34</v>
      </c>
      <c r="E555" s="1" t="s">
        <v>10</v>
      </c>
      <c r="F555" s="1" t="s">
        <v>11</v>
      </c>
      <c r="G555" s="1">
        <v>7</v>
      </c>
      <c r="H555" s="1">
        <v>1123.0899999999999</v>
      </c>
      <c r="I555" s="1">
        <v>0.25</v>
      </c>
      <c r="J555" s="1">
        <v>11728.54</v>
      </c>
      <c r="K555" s="1" t="s">
        <v>10</v>
      </c>
    </row>
    <row r="556" spans="1:11" ht="15" customHeight="1" x14ac:dyDescent="0.25">
      <c r="A556" s="1">
        <v>10555</v>
      </c>
      <c r="B556" s="2">
        <v>45985</v>
      </c>
      <c r="C556" s="1" t="s">
        <v>25</v>
      </c>
      <c r="D556" s="1" t="s">
        <v>40</v>
      </c>
      <c r="E556" s="1" t="s">
        <v>10</v>
      </c>
      <c r="F556" s="1" t="s">
        <v>9</v>
      </c>
      <c r="G556" s="1">
        <v>5</v>
      </c>
      <c r="H556" s="1">
        <v>16716.22</v>
      </c>
      <c r="I556" s="1">
        <v>0.25</v>
      </c>
      <c r="J556" s="1">
        <v>2946.13</v>
      </c>
      <c r="K556" s="1" t="s">
        <v>10</v>
      </c>
    </row>
    <row r="557" spans="1:11" ht="15" customHeight="1" x14ac:dyDescent="0.25">
      <c r="A557" s="1">
        <v>10556</v>
      </c>
      <c r="B557" s="2">
        <v>45711</v>
      </c>
      <c r="C557" s="1" t="s">
        <v>25</v>
      </c>
      <c r="D557" s="1" t="s">
        <v>37</v>
      </c>
      <c r="E557" s="1" t="s">
        <v>8</v>
      </c>
      <c r="F557" s="1" t="s">
        <v>11</v>
      </c>
      <c r="G557" s="1">
        <v>3</v>
      </c>
      <c r="H557" s="1">
        <v>49795.48</v>
      </c>
      <c r="I557" s="1">
        <v>0.15</v>
      </c>
      <c r="J557" s="1">
        <v>7976.56</v>
      </c>
      <c r="K557" s="1" t="s">
        <v>8</v>
      </c>
    </row>
    <row r="558" spans="1:11" ht="15" customHeight="1" x14ac:dyDescent="0.25">
      <c r="A558" s="1">
        <v>10557</v>
      </c>
      <c r="B558" s="2">
        <v>45906</v>
      </c>
      <c r="C558" s="1" t="s">
        <v>22</v>
      </c>
      <c r="D558" s="1" t="s">
        <v>37</v>
      </c>
      <c r="E558" s="1" t="s">
        <v>8</v>
      </c>
      <c r="F558" s="1" t="s">
        <v>12</v>
      </c>
      <c r="G558" s="1">
        <v>7</v>
      </c>
      <c r="H558" s="1">
        <v>36557.21</v>
      </c>
      <c r="I558" s="1">
        <v>0</v>
      </c>
      <c r="J558" s="1">
        <v>10077.24</v>
      </c>
      <c r="K558" s="1" t="s">
        <v>8</v>
      </c>
    </row>
    <row r="559" spans="1:11" ht="15" customHeight="1" x14ac:dyDescent="0.25">
      <c r="A559" s="1">
        <v>10558</v>
      </c>
      <c r="B559" s="2">
        <v>45896</v>
      </c>
      <c r="C559" s="1" t="s">
        <v>17</v>
      </c>
      <c r="D559" s="1" t="s">
        <v>39</v>
      </c>
      <c r="E559" s="1" t="s">
        <v>10</v>
      </c>
      <c r="F559" s="1" t="s">
        <v>12</v>
      </c>
      <c r="G559" s="1">
        <v>1</v>
      </c>
      <c r="H559" s="1">
        <v>895.85</v>
      </c>
      <c r="I559" s="1">
        <v>0.2</v>
      </c>
      <c r="J559" s="1">
        <v>6630.39</v>
      </c>
      <c r="K559" s="1" t="s">
        <v>10</v>
      </c>
    </row>
    <row r="560" spans="1:11" ht="15" customHeight="1" x14ac:dyDescent="0.25">
      <c r="A560" s="1">
        <v>10559</v>
      </c>
      <c r="B560" s="2">
        <v>45886</v>
      </c>
      <c r="C560" s="1" t="s">
        <v>21</v>
      </c>
      <c r="D560" s="1" t="s">
        <v>37</v>
      </c>
      <c r="E560" s="1" t="s">
        <v>8</v>
      </c>
      <c r="F560" s="1" t="s">
        <v>12</v>
      </c>
      <c r="G560" s="1">
        <v>4</v>
      </c>
      <c r="H560" s="1">
        <v>60434.85</v>
      </c>
      <c r="I560" s="1">
        <v>0.25</v>
      </c>
      <c r="J560" s="1">
        <v>1880.08</v>
      </c>
      <c r="K560" s="1" t="s">
        <v>8</v>
      </c>
    </row>
    <row r="561" spans="1:11" ht="15" customHeight="1" x14ac:dyDescent="0.25">
      <c r="A561" s="1">
        <v>10560</v>
      </c>
      <c r="B561" s="2">
        <v>45724</v>
      </c>
      <c r="C561" s="1" t="s">
        <v>19</v>
      </c>
      <c r="D561" s="1" t="s">
        <v>39</v>
      </c>
      <c r="E561" s="1" t="s">
        <v>10</v>
      </c>
      <c r="F561" s="1" t="s">
        <v>11</v>
      </c>
      <c r="G561" s="1">
        <v>5</v>
      </c>
      <c r="H561" s="1">
        <v>58074.31</v>
      </c>
      <c r="I561" s="1">
        <v>0.2</v>
      </c>
      <c r="J561" s="1">
        <v>8750.99</v>
      </c>
      <c r="K561" s="1" t="s">
        <v>10</v>
      </c>
    </row>
    <row r="562" spans="1:11" ht="15" customHeight="1" x14ac:dyDescent="0.25">
      <c r="A562" s="1">
        <v>10561</v>
      </c>
      <c r="B562" s="2">
        <v>45708</v>
      </c>
      <c r="C562" s="1" t="s">
        <v>20</v>
      </c>
      <c r="D562" s="1" t="s">
        <v>34</v>
      </c>
      <c r="E562" s="1" t="s">
        <v>10</v>
      </c>
      <c r="F562" s="1" t="s">
        <v>12</v>
      </c>
      <c r="G562" s="1">
        <v>1</v>
      </c>
      <c r="H562" s="1">
        <v>41357.230000000003</v>
      </c>
      <c r="I562" s="1">
        <v>0.25</v>
      </c>
      <c r="J562" s="1">
        <v>7223</v>
      </c>
      <c r="K562" s="1" t="s">
        <v>10</v>
      </c>
    </row>
    <row r="563" spans="1:11" ht="15" customHeight="1" x14ac:dyDescent="0.25">
      <c r="A563" s="1">
        <v>10562</v>
      </c>
      <c r="B563" s="2">
        <v>45754</v>
      </c>
      <c r="C563" s="1" t="s">
        <v>25</v>
      </c>
      <c r="D563" s="1" t="s">
        <v>36</v>
      </c>
      <c r="E563" s="1" t="s">
        <v>10</v>
      </c>
      <c r="F563" s="1" t="s">
        <v>11</v>
      </c>
      <c r="G563" s="1">
        <v>1</v>
      </c>
      <c r="H563" s="1">
        <v>5451.52</v>
      </c>
      <c r="I563" s="1">
        <v>0.15</v>
      </c>
      <c r="J563" s="1">
        <v>8788.44</v>
      </c>
      <c r="K563" s="1" t="s">
        <v>10</v>
      </c>
    </row>
    <row r="564" spans="1:11" ht="15" customHeight="1" x14ac:dyDescent="0.25">
      <c r="A564" s="1">
        <v>10563</v>
      </c>
      <c r="B564" s="2">
        <v>45749</v>
      </c>
      <c r="C564" s="1" t="s">
        <v>18</v>
      </c>
      <c r="D564" s="1" t="s">
        <v>33</v>
      </c>
      <c r="E564" s="1" t="s">
        <v>8</v>
      </c>
      <c r="F564" s="1" t="s">
        <v>9</v>
      </c>
      <c r="G564" s="1">
        <v>1</v>
      </c>
      <c r="H564" s="1">
        <v>57605.37</v>
      </c>
      <c r="I564" s="1">
        <v>0</v>
      </c>
      <c r="J564" s="1">
        <v>9248.4699999999993</v>
      </c>
      <c r="K564" s="1" t="s">
        <v>8</v>
      </c>
    </row>
    <row r="565" spans="1:11" ht="15" customHeight="1" x14ac:dyDescent="0.25">
      <c r="A565" s="1">
        <v>10564</v>
      </c>
      <c r="B565" s="2">
        <v>45921</v>
      </c>
      <c r="C565" s="1" t="s">
        <v>18</v>
      </c>
      <c r="D565" s="1" t="s">
        <v>33</v>
      </c>
      <c r="E565" s="1" t="s">
        <v>8</v>
      </c>
      <c r="F565" s="1" t="s">
        <v>11</v>
      </c>
      <c r="G565" s="1">
        <v>1</v>
      </c>
      <c r="H565" s="1">
        <v>43986.66</v>
      </c>
      <c r="I565" s="1">
        <v>0</v>
      </c>
      <c r="J565" s="1">
        <v>11706.15</v>
      </c>
      <c r="K565" s="1" t="s">
        <v>8</v>
      </c>
    </row>
    <row r="566" spans="1:11" ht="15" customHeight="1" x14ac:dyDescent="0.25">
      <c r="A566" s="1">
        <v>10565</v>
      </c>
      <c r="B566" s="2">
        <v>45948</v>
      </c>
      <c r="C566" s="1" t="s">
        <v>19</v>
      </c>
      <c r="D566" s="1" t="s">
        <v>34</v>
      </c>
      <c r="E566" s="1" t="s">
        <v>10</v>
      </c>
      <c r="F566" s="1" t="s">
        <v>9</v>
      </c>
      <c r="G566" s="1">
        <v>3</v>
      </c>
      <c r="H566" s="1">
        <v>58756.02</v>
      </c>
      <c r="I566" s="1">
        <v>0.25</v>
      </c>
      <c r="J566" s="1">
        <v>6904.08</v>
      </c>
      <c r="K566" s="1" t="s">
        <v>10</v>
      </c>
    </row>
    <row r="567" spans="1:11" ht="15" customHeight="1" x14ac:dyDescent="0.25">
      <c r="A567" s="1">
        <v>10566</v>
      </c>
      <c r="B567" s="2">
        <v>45753</v>
      </c>
      <c r="C567" s="1" t="s">
        <v>18</v>
      </c>
      <c r="D567" s="1" t="s">
        <v>38</v>
      </c>
      <c r="E567" s="1" t="s">
        <v>10</v>
      </c>
      <c r="F567" s="1" t="s">
        <v>11</v>
      </c>
      <c r="G567" s="1">
        <v>7</v>
      </c>
      <c r="H567" s="1">
        <v>56505.15</v>
      </c>
      <c r="I567" s="1">
        <v>0.15</v>
      </c>
      <c r="J567" s="1">
        <v>4132.6099999999997</v>
      </c>
      <c r="K567" s="1" t="s">
        <v>10</v>
      </c>
    </row>
    <row r="568" spans="1:11" ht="15" customHeight="1" x14ac:dyDescent="0.25">
      <c r="A568" s="1">
        <v>10567</v>
      </c>
      <c r="B568" s="2">
        <v>45745</v>
      </c>
      <c r="C568" s="1" t="s">
        <v>21</v>
      </c>
      <c r="D568" s="1" t="s">
        <v>38</v>
      </c>
      <c r="E568" s="1" t="s">
        <v>10</v>
      </c>
      <c r="F568" s="1" t="s">
        <v>9</v>
      </c>
      <c r="G568" s="1">
        <v>6</v>
      </c>
      <c r="H568" s="1">
        <v>60323.65</v>
      </c>
      <c r="I568" s="1">
        <v>0.05</v>
      </c>
      <c r="J568" s="1">
        <v>7799.15</v>
      </c>
      <c r="K568" s="1" t="s">
        <v>10</v>
      </c>
    </row>
    <row r="569" spans="1:11" ht="15" customHeight="1" x14ac:dyDescent="0.25">
      <c r="A569" s="1">
        <v>10568</v>
      </c>
      <c r="B569" s="2">
        <v>45735</v>
      </c>
      <c r="C569" s="1" t="s">
        <v>18</v>
      </c>
      <c r="D569" s="1" t="s">
        <v>37</v>
      </c>
      <c r="E569" s="1" t="s">
        <v>8</v>
      </c>
      <c r="F569" s="1" t="s">
        <v>12</v>
      </c>
      <c r="G569" s="1">
        <v>3</v>
      </c>
      <c r="H569" s="1">
        <v>39091.599999999999</v>
      </c>
      <c r="I569" s="1">
        <v>0.2</v>
      </c>
      <c r="J569" s="1">
        <v>867.87</v>
      </c>
      <c r="K569" s="1" t="s">
        <v>8</v>
      </c>
    </row>
    <row r="570" spans="1:11" ht="15" customHeight="1" x14ac:dyDescent="0.25">
      <c r="A570" s="1">
        <v>10569</v>
      </c>
      <c r="B570" s="2">
        <v>45945</v>
      </c>
      <c r="C570" s="1" t="s">
        <v>20</v>
      </c>
      <c r="D570" s="1" t="s">
        <v>33</v>
      </c>
      <c r="E570" s="1" t="s">
        <v>8</v>
      </c>
      <c r="F570" s="1" t="s">
        <v>9</v>
      </c>
      <c r="G570" s="1">
        <v>3</v>
      </c>
      <c r="H570" s="1">
        <v>10954.18</v>
      </c>
      <c r="I570" s="1">
        <v>0.2</v>
      </c>
      <c r="J570" s="1">
        <v>10773.9</v>
      </c>
      <c r="K570" s="1" t="s">
        <v>8</v>
      </c>
    </row>
    <row r="571" spans="1:11" ht="15" customHeight="1" x14ac:dyDescent="0.25">
      <c r="A571" s="1">
        <v>10570</v>
      </c>
      <c r="B571" s="2">
        <v>45777</v>
      </c>
      <c r="C571" s="1" t="s">
        <v>20</v>
      </c>
      <c r="D571" s="1" t="s">
        <v>33</v>
      </c>
      <c r="E571" s="1" t="s">
        <v>8</v>
      </c>
      <c r="F571" s="1" t="s">
        <v>12</v>
      </c>
      <c r="G571" s="1">
        <v>5</v>
      </c>
      <c r="H571" s="1">
        <v>50501.23</v>
      </c>
      <c r="I571" s="1">
        <v>0.1</v>
      </c>
      <c r="J571" s="1">
        <v>1476.6</v>
      </c>
      <c r="K571" s="1" t="s">
        <v>8</v>
      </c>
    </row>
    <row r="572" spans="1:11" ht="15" customHeight="1" x14ac:dyDescent="0.25">
      <c r="A572" s="1">
        <v>10571</v>
      </c>
      <c r="B572" s="2">
        <v>45959</v>
      </c>
      <c r="C572" s="1" t="s">
        <v>25</v>
      </c>
      <c r="D572" s="1" t="s">
        <v>39</v>
      </c>
      <c r="E572" s="1" t="s">
        <v>10</v>
      </c>
      <c r="F572" s="1" t="s">
        <v>12</v>
      </c>
      <c r="G572" s="1">
        <v>5</v>
      </c>
      <c r="H572" s="1">
        <v>46725.3</v>
      </c>
      <c r="I572" s="1">
        <v>0.15</v>
      </c>
      <c r="J572" s="1">
        <v>3967.72</v>
      </c>
      <c r="K572" s="1" t="s">
        <v>10</v>
      </c>
    </row>
    <row r="573" spans="1:11" ht="15" customHeight="1" x14ac:dyDescent="0.25">
      <c r="A573" s="1">
        <v>10572</v>
      </c>
      <c r="B573" s="2">
        <v>45822</v>
      </c>
      <c r="C573" s="1" t="s">
        <v>17</v>
      </c>
      <c r="D573" s="1" t="s">
        <v>36</v>
      </c>
      <c r="E573" s="1" t="s">
        <v>10</v>
      </c>
      <c r="F573" s="1" t="s">
        <v>9</v>
      </c>
      <c r="G573" s="1">
        <v>7</v>
      </c>
      <c r="H573" s="1">
        <v>55797.86</v>
      </c>
      <c r="I573" s="1">
        <v>0.1</v>
      </c>
      <c r="J573" s="1">
        <v>9798.16</v>
      </c>
      <c r="K573" s="1" t="s">
        <v>10</v>
      </c>
    </row>
    <row r="574" spans="1:11" ht="15" customHeight="1" x14ac:dyDescent="0.25">
      <c r="A574" s="1">
        <v>10573</v>
      </c>
      <c r="B574" s="2">
        <v>45839</v>
      </c>
      <c r="C574" s="1" t="s">
        <v>22</v>
      </c>
      <c r="D574" s="1" t="s">
        <v>40</v>
      </c>
      <c r="E574" s="1" t="s">
        <v>10</v>
      </c>
      <c r="F574" s="1" t="s">
        <v>11</v>
      </c>
      <c r="G574" s="1">
        <v>6</v>
      </c>
      <c r="H574" s="1">
        <v>13156.13</v>
      </c>
      <c r="I574" s="1">
        <v>0.25</v>
      </c>
      <c r="J574" s="1">
        <v>7187.88</v>
      </c>
      <c r="K574" s="1" t="s">
        <v>10</v>
      </c>
    </row>
    <row r="575" spans="1:11" ht="15" customHeight="1" x14ac:dyDescent="0.25">
      <c r="A575" s="1">
        <v>10574</v>
      </c>
      <c r="B575" s="2">
        <v>45880</v>
      </c>
      <c r="C575" s="1" t="s">
        <v>21</v>
      </c>
      <c r="D575" s="1" t="s">
        <v>38</v>
      </c>
      <c r="E575" s="1" t="s">
        <v>10</v>
      </c>
      <c r="F575" s="1" t="s">
        <v>11</v>
      </c>
      <c r="G575" s="1">
        <v>5</v>
      </c>
      <c r="H575" s="1">
        <v>15025.65</v>
      </c>
      <c r="I575" s="1">
        <v>0.1</v>
      </c>
      <c r="J575" s="1">
        <v>4753.9399999999996</v>
      </c>
      <c r="K575" s="1" t="s">
        <v>10</v>
      </c>
    </row>
    <row r="576" spans="1:11" ht="15" customHeight="1" x14ac:dyDescent="0.25">
      <c r="A576" s="1">
        <v>10575</v>
      </c>
      <c r="B576" s="2">
        <v>45968</v>
      </c>
      <c r="C576" s="1" t="s">
        <v>25</v>
      </c>
      <c r="D576" s="1" t="s">
        <v>33</v>
      </c>
      <c r="E576" s="1" t="s">
        <v>8</v>
      </c>
      <c r="F576" s="1" t="s">
        <v>13</v>
      </c>
      <c r="G576" s="1">
        <v>7</v>
      </c>
      <c r="H576" s="1">
        <v>66835.509999999995</v>
      </c>
      <c r="I576" s="1">
        <v>0</v>
      </c>
      <c r="J576" s="1">
        <v>5707.56</v>
      </c>
      <c r="K576" s="1" t="s">
        <v>8</v>
      </c>
    </row>
    <row r="577" spans="1:11" ht="15" customHeight="1" x14ac:dyDescent="0.25">
      <c r="A577" s="1">
        <v>10576</v>
      </c>
      <c r="B577" s="2">
        <v>45664</v>
      </c>
      <c r="C577" s="1" t="s">
        <v>21</v>
      </c>
      <c r="D577" s="1" t="s">
        <v>39</v>
      </c>
      <c r="E577" s="1" t="s">
        <v>10</v>
      </c>
      <c r="F577" s="1" t="s">
        <v>11</v>
      </c>
      <c r="G577" s="1">
        <v>7</v>
      </c>
      <c r="H577" s="1">
        <v>56373.35</v>
      </c>
      <c r="I577" s="1">
        <v>0.2</v>
      </c>
      <c r="J577" s="1">
        <v>10261.84</v>
      </c>
      <c r="K577" s="1" t="s">
        <v>10</v>
      </c>
    </row>
    <row r="578" spans="1:11" ht="15" customHeight="1" x14ac:dyDescent="0.25">
      <c r="A578" s="1">
        <v>10577</v>
      </c>
      <c r="B578" s="2">
        <v>45987</v>
      </c>
      <c r="C578" s="1" t="s">
        <v>17</v>
      </c>
      <c r="D578" s="1" t="s">
        <v>35</v>
      </c>
      <c r="E578" s="1" t="s">
        <v>10</v>
      </c>
      <c r="F578" s="1" t="s">
        <v>13</v>
      </c>
      <c r="G578" s="1">
        <v>2</v>
      </c>
      <c r="H578" s="1">
        <v>68163.02</v>
      </c>
      <c r="I578" s="1">
        <v>0.1</v>
      </c>
      <c r="J578" s="1">
        <v>4113.05</v>
      </c>
      <c r="K578" s="1" t="s">
        <v>10</v>
      </c>
    </row>
    <row r="579" spans="1:11" ht="15" customHeight="1" x14ac:dyDescent="0.25">
      <c r="A579" s="1">
        <v>10578</v>
      </c>
      <c r="B579" s="2">
        <v>45920</v>
      </c>
      <c r="C579" s="1" t="s">
        <v>23</v>
      </c>
      <c r="D579" s="1" t="s">
        <v>39</v>
      </c>
      <c r="E579" s="1" t="s">
        <v>10</v>
      </c>
      <c r="F579" s="1" t="s">
        <v>11</v>
      </c>
      <c r="G579" s="1">
        <v>6</v>
      </c>
      <c r="H579" s="1">
        <v>57024.29</v>
      </c>
      <c r="I579" s="1">
        <v>0</v>
      </c>
      <c r="J579" s="1">
        <v>10442.31</v>
      </c>
      <c r="K579" s="1" t="s">
        <v>10</v>
      </c>
    </row>
    <row r="580" spans="1:11" ht="15" customHeight="1" x14ac:dyDescent="0.25">
      <c r="A580" s="1">
        <v>10579</v>
      </c>
      <c r="B580" s="2">
        <v>45818</v>
      </c>
      <c r="C580" s="1" t="s">
        <v>18</v>
      </c>
      <c r="D580" s="1" t="s">
        <v>38</v>
      </c>
      <c r="E580" s="1" t="s">
        <v>10</v>
      </c>
      <c r="F580" s="1" t="s">
        <v>11</v>
      </c>
      <c r="G580" s="1">
        <v>5</v>
      </c>
      <c r="H580" s="1">
        <v>44988.07</v>
      </c>
      <c r="I580" s="1">
        <v>0.15</v>
      </c>
      <c r="J580" s="1">
        <v>1103.21</v>
      </c>
      <c r="K580" s="1" t="s">
        <v>10</v>
      </c>
    </row>
    <row r="581" spans="1:11" ht="15" customHeight="1" x14ac:dyDescent="0.25">
      <c r="A581" s="1">
        <v>10580</v>
      </c>
      <c r="B581" s="2">
        <v>45808</v>
      </c>
      <c r="C581" s="1" t="s">
        <v>18</v>
      </c>
      <c r="D581" s="1" t="s">
        <v>38</v>
      </c>
      <c r="E581" s="1" t="s">
        <v>10</v>
      </c>
      <c r="F581" s="1" t="s">
        <v>12</v>
      </c>
      <c r="G581" s="1">
        <v>6</v>
      </c>
      <c r="H581" s="1">
        <v>49232.89</v>
      </c>
      <c r="I581" s="1">
        <v>0.1</v>
      </c>
      <c r="J581" s="1">
        <v>9332.74</v>
      </c>
      <c r="K581" s="1" t="s">
        <v>10</v>
      </c>
    </row>
    <row r="582" spans="1:11" ht="15" customHeight="1" x14ac:dyDescent="0.25">
      <c r="A582" s="1">
        <v>10581</v>
      </c>
      <c r="B582" s="2">
        <v>45742</v>
      </c>
      <c r="C582" s="1" t="s">
        <v>22</v>
      </c>
      <c r="D582" s="1" t="s">
        <v>39</v>
      </c>
      <c r="E582" s="1" t="s">
        <v>10</v>
      </c>
      <c r="F582" s="1" t="s">
        <v>13</v>
      </c>
      <c r="G582" s="1">
        <v>3</v>
      </c>
      <c r="H582" s="1">
        <v>66740.03</v>
      </c>
      <c r="I582" s="1">
        <v>0.25</v>
      </c>
      <c r="J582" s="1">
        <v>10178.19</v>
      </c>
      <c r="K582" s="1" t="s">
        <v>10</v>
      </c>
    </row>
    <row r="583" spans="1:11" ht="15" customHeight="1" x14ac:dyDescent="0.25">
      <c r="A583" s="1">
        <v>10582</v>
      </c>
      <c r="B583" s="2">
        <v>45804</v>
      </c>
      <c r="C583" s="1" t="s">
        <v>17</v>
      </c>
      <c r="D583" s="1" t="s">
        <v>40</v>
      </c>
      <c r="E583" s="1" t="s">
        <v>10</v>
      </c>
      <c r="F583" s="1" t="s">
        <v>11</v>
      </c>
      <c r="G583" s="1">
        <v>3</v>
      </c>
      <c r="H583" s="1">
        <v>43621.1</v>
      </c>
      <c r="I583" s="1">
        <v>0.25</v>
      </c>
      <c r="J583" s="1">
        <v>2222.7199999999998</v>
      </c>
      <c r="K583" s="1" t="s">
        <v>10</v>
      </c>
    </row>
    <row r="584" spans="1:11" ht="15" customHeight="1" x14ac:dyDescent="0.25">
      <c r="A584" s="1">
        <v>10583</v>
      </c>
      <c r="B584" s="2">
        <v>45769</v>
      </c>
      <c r="C584" s="1" t="s">
        <v>25</v>
      </c>
      <c r="D584" s="1" t="s">
        <v>34</v>
      </c>
      <c r="E584" s="1" t="s">
        <v>10</v>
      </c>
      <c r="F584" s="1" t="s">
        <v>13</v>
      </c>
      <c r="G584" s="1">
        <v>6</v>
      </c>
      <c r="H584" s="1">
        <v>47613.15</v>
      </c>
      <c r="I584" s="1">
        <v>0.25</v>
      </c>
      <c r="J584" s="1">
        <v>5192.6400000000003</v>
      </c>
      <c r="K584" s="1" t="s">
        <v>10</v>
      </c>
    </row>
    <row r="585" spans="1:11" ht="15" customHeight="1" x14ac:dyDescent="0.25">
      <c r="A585" s="1">
        <v>10584</v>
      </c>
      <c r="B585" s="2">
        <v>45693</v>
      </c>
      <c r="C585" s="1" t="s">
        <v>22</v>
      </c>
      <c r="D585" s="1" t="s">
        <v>38</v>
      </c>
      <c r="E585" s="1" t="s">
        <v>10</v>
      </c>
      <c r="F585" s="1" t="s">
        <v>12</v>
      </c>
      <c r="G585" s="1">
        <v>2</v>
      </c>
      <c r="H585" s="1">
        <v>12157.52</v>
      </c>
      <c r="I585" s="1">
        <v>0.2</v>
      </c>
      <c r="J585" s="1">
        <v>2027.72</v>
      </c>
      <c r="K585" s="1" t="s">
        <v>10</v>
      </c>
    </row>
    <row r="586" spans="1:11" ht="15" customHeight="1" x14ac:dyDescent="0.25">
      <c r="A586" s="1">
        <v>10585</v>
      </c>
      <c r="B586" s="2">
        <v>45942</v>
      </c>
      <c r="C586" s="1" t="s">
        <v>17</v>
      </c>
      <c r="D586" s="1" t="s">
        <v>39</v>
      </c>
      <c r="E586" s="1" t="s">
        <v>10</v>
      </c>
      <c r="F586" s="1" t="s">
        <v>12</v>
      </c>
      <c r="G586" s="1">
        <v>2</v>
      </c>
      <c r="H586" s="1">
        <v>35807.129999999997</v>
      </c>
      <c r="I586" s="1">
        <v>0.1</v>
      </c>
      <c r="J586" s="1">
        <v>8493.92</v>
      </c>
      <c r="K586" s="1" t="s">
        <v>10</v>
      </c>
    </row>
    <row r="587" spans="1:11" ht="15" customHeight="1" x14ac:dyDescent="0.25">
      <c r="A587" s="1">
        <v>10586</v>
      </c>
      <c r="B587" s="2">
        <v>45845</v>
      </c>
      <c r="C587" s="1" t="s">
        <v>19</v>
      </c>
      <c r="D587" s="1" t="s">
        <v>33</v>
      </c>
      <c r="E587" s="1" t="s">
        <v>8</v>
      </c>
      <c r="F587" s="1" t="s">
        <v>13</v>
      </c>
      <c r="G587" s="1">
        <v>6</v>
      </c>
      <c r="H587" s="1">
        <v>53871.58</v>
      </c>
      <c r="I587" s="1">
        <v>0.15</v>
      </c>
      <c r="J587" s="1">
        <v>6447.41</v>
      </c>
      <c r="K587" s="1" t="s">
        <v>8</v>
      </c>
    </row>
    <row r="588" spans="1:11" ht="15" customHeight="1" x14ac:dyDescent="0.25">
      <c r="A588" s="1">
        <v>10587</v>
      </c>
      <c r="B588" s="2">
        <v>45739</v>
      </c>
      <c r="C588" s="1" t="s">
        <v>20</v>
      </c>
      <c r="D588" s="1" t="s">
        <v>39</v>
      </c>
      <c r="E588" s="1" t="s">
        <v>10</v>
      </c>
      <c r="F588" s="1" t="s">
        <v>12</v>
      </c>
      <c r="G588" s="1">
        <v>5</v>
      </c>
      <c r="H588" s="1">
        <v>20685.23</v>
      </c>
      <c r="I588" s="1">
        <v>0.1</v>
      </c>
      <c r="J588" s="1">
        <v>7642.11</v>
      </c>
      <c r="K588" s="1" t="s">
        <v>10</v>
      </c>
    </row>
    <row r="589" spans="1:11" ht="15" customHeight="1" x14ac:dyDescent="0.25">
      <c r="A589" s="1">
        <v>10588</v>
      </c>
      <c r="B589" s="2">
        <v>45659</v>
      </c>
      <c r="C589" s="1" t="s">
        <v>22</v>
      </c>
      <c r="D589" s="1" t="s">
        <v>36</v>
      </c>
      <c r="E589" s="1" t="s">
        <v>10</v>
      </c>
      <c r="F589" s="1" t="s">
        <v>9</v>
      </c>
      <c r="G589" s="1">
        <v>4</v>
      </c>
      <c r="H589" s="1">
        <v>15567.94</v>
      </c>
      <c r="I589" s="1">
        <v>0.2</v>
      </c>
      <c r="J589" s="1">
        <v>2398.02</v>
      </c>
      <c r="K589" s="1" t="s">
        <v>10</v>
      </c>
    </row>
    <row r="590" spans="1:11" ht="15" customHeight="1" x14ac:dyDescent="0.25">
      <c r="A590" s="1">
        <v>10589</v>
      </c>
      <c r="B590" s="2">
        <v>45960</v>
      </c>
      <c r="C590" s="1" t="s">
        <v>22</v>
      </c>
      <c r="D590" s="1" t="s">
        <v>34</v>
      </c>
      <c r="E590" s="1" t="s">
        <v>10</v>
      </c>
      <c r="F590" s="1" t="s">
        <v>9</v>
      </c>
      <c r="G590" s="1">
        <v>2</v>
      </c>
      <c r="H590" s="1">
        <v>23880.1</v>
      </c>
      <c r="I590" s="1">
        <v>0</v>
      </c>
      <c r="J590" s="1">
        <v>2580.36</v>
      </c>
      <c r="K590" s="1" t="s">
        <v>10</v>
      </c>
    </row>
    <row r="591" spans="1:11" ht="15" customHeight="1" x14ac:dyDescent="0.25">
      <c r="A591" s="1">
        <v>10590</v>
      </c>
      <c r="B591" s="2">
        <v>45854</v>
      </c>
      <c r="C591" s="1" t="s">
        <v>25</v>
      </c>
      <c r="D591" s="1" t="s">
        <v>35</v>
      </c>
      <c r="E591" s="1" t="s">
        <v>10</v>
      </c>
      <c r="F591" s="1" t="s">
        <v>12</v>
      </c>
      <c r="G591" s="1">
        <v>1</v>
      </c>
      <c r="H591" s="1">
        <v>18491.8</v>
      </c>
      <c r="I591" s="1">
        <v>0.2</v>
      </c>
      <c r="J591" s="1">
        <v>545.89</v>
      </c>
      <c r="K591" s="1" t="s">
        <v>10</v>
      </c>
    </row>
    <row r="592" spans="1:11" ht="15" customHeight="1" x14ac:dyDescent="0.25">
      <c r="A592" s="1">
        <v>10591</v>
      </c>
      <c r="B592" s="2">
        <v>45668</v>
      </c>
      <c r="C592" s="1" t="s">
        <v>21</v>
      </c>
      <c r="D592" s="1" t="s">
        <v>40</v>
      </c>
      <c r="E592" s="1" t="s">
        <v>10</v>
      </c>
      <c r="F592" s="1" t="s">
        <v>9</v>
      </c>
      <c r="G592" s="1">
        <v>3</v>
      </c>
      <c r="H592" s="1">
        <v>16510.990000000002</v>
      </c>
      <c r="I592" s="1">
        <v>0.25</v>
      </c>
      <c r="J592" s="1">
        <v>3898.71</v>
      </c>
      <c r="K592" s="1" t="s">
        <v>10</v>
      </c>
    </row>
    <row r="593" spans="1:11" ht="15" customHeight="1" x14ac:dyDescent="0.25">
      <c r="A593" s="1">
        <v>10592</v>
      </c>
      <c r="B593" s="2">
        <v>45891</v>
      </c>
      <c r="C593" s="1" t="s">
        <v>19</v>
      </c>
      <c r="D593" s="1" t="s">
        <v>37</v>
      </c>
      <c r="E593" s="1" t="s">
        <v>8</v>
      </c>
      <c r="F593" s="1" t="s">
        <v>11</v>
      </c>
      <c r="G593" s="1">
        <v>6</v>
      </c>
      <c r="H593" s="1">
        <v>32151.39</v>
      </c>
      <c r="I593" s="1">
        <v>0</v>
      </c>
      <c r="J593" s="1">
        <v>6738.95</v>
      </c>
      <c r="K593" s="1" t="s">
        <v>8</v>
      </c>
    </row>
    <row r="594" spans="1:11" ht="15" customHeight="1" x14ac:dyDescent="0.25">
      <c r="A594" s="1">
        <v>10593</v>
      </c>
      <c r="B594" s="2">
        <v>45852</v>
      </c>
      <c r="C594" s="1" t="s">
        <v>25</v>
      </c>
      <c r="D594" s="1" t="s">
        <v>35</v>
      </c>
      <c r="E594" s="1" t="s">
        <v>10</v>
      </c>
      <c r="F594" s="1" t="s">
        <v>13</v>
      </c>
      <c r="G594" s="1">
        <v>1</v>
      </c>
      <c r="H594" s="1">
        <v>68133.97</v>
      </c>
      <c r="I594" s="1">
        <v>0.25</v>
      </c>
      <c r="J594" s="1">
        <v>10302.32</v>
      </c>
      <c r="K594" s="1" t="s">
        <v>10</v>
      </c>
    </row>
    <row r="595" spans="1:11" ht="15" customHeight="1" x14ac:dyDescent="0.25">
      <c r="A595" s="1">
        <v>10594</v>
      </c>
      <c r="B595" s="2">
        <v>45776</v>
      </c>
      <c r="C595" s="1" t="s">
        <v>17</v>
      </c>
      <c r="D595" s="1" t="s">
        <v>34</v>
      </c>
      <c r="E595" s="1" t="s">
        <v>10</v>
      </c>
      <c r="F595" s="1" t="s">
        <v>11</v>
      </c>
      <c r="G595" s="1">
        <v>6</v>
      </c>
      <c r="H595" s="1">
        <v>38275.94</v>
      </c>
      <c r="I595" s="1">
        <v>0.05</v>
      </c>
      <c r="J595" s="1">
        <v>8019.78</v>
      </c>
      <c r="K595" s="1" t="s">
        <v>10</v>
      </c>
    </row>
    <row r="596" spans="1:11" ht="15" customHeight="1" x14ac:dyDescent="0.25">
      <c r="A596" s="1">
        <v>10595</v>
      </c>
      <c r="B596" s="2">
        <v>45677</v>
      </c>
      <c r="C596" s="1" t="s">
        <v>17</v>
      </c>
      <c r="D596" s="1" t="s">
        <v>34</v>
      </c>
      <c r="E596" s="1" t="s">
        <v>10</v>
      </c>
      <c r="F596" s="1" t="s">
        <v>13</v>
      </c>
      <c r="G596" s="1">
        <v>7</v>
      </c>
      <c r="H596" s="1">
        <v>14500.07</v>
      </c>
      <c r="I596" s="1">
        <v>0.2</v>
      </c>
      <c r="J596" s="1">
        <v>5252.99</v>
      </c>
      <c r="K596" s="1" t="s">
        <v>10</v>
      </c>
    </row>
    <row r="597" spans="1:11" ht="15" customHeight="1" x14ac:dyDescent="0.25">
      <c r="A597" s="1">
        <v>10596</v>
      </c>
      <c r="B597" s="2">
        <v>45918</v>
      </c>
      <c r="C597" s="1" t="s">
        <v>17</v>
      </c>
      <c r="D597" s="1" t="s">
        <v>34</v>
      </c>
      <c r="E597" s="1" t="s">
        <v>10</v>
      </c>
      <c r="F597" s="1" t="s">
        <v>12</v>
      </c>
      <c r="G597" s="1">
        <v>3</v>
      </c>
      <c r="H597" s="1">
        <v>6234.39</v>
      </c>
      <c r="I597" s="1">
        <v>0.2</v>
      </c>
      <c r="J597" s="1">
        <v>11439.79</v>
      </c>
      <c r="K597" s="1" t="s">
        <v>10</v>
      </c>
    </row>
    <row r="598" spans="1:11" ht="15" customHeight="1" x14ac:dyDescent="0.25">
      <c r="A598" s="1">
        <v>10597</v>
      </c>
      <c r="B598" s="2">
        <v>45950</v>
      </c>
      <c r="C598" s="1" t="s">
        <v>23</v>
      </c>
      <c r="D598" s="1" t="s">
        <v>35</v>
      </c>
      <c r="E598" s="1" t="s">
        <v>10</v>
      </c>
      <c r="F598" s="1" t="s">
        <v>11</v>
      </c>
      <c r="G598" s="1">
        <v>3</v>
      </c>
      <c r="H598" s="1">
        <v>52363.63</v>
      </c>
      <c r="I598" s="1">
        <v>0.15</v>
      </c>
      <c r="J598" s="1">
        <v>8644.98</v>
      </c>
      <c r="K598" s="1" t="s">
        <v>10</v>
      </c>
    </row>
    <row r="599" spans="1:11" ht="15" customHeight="1" x14ac:dyDescent="0.25">
      <c r="A599" s="1">
        <v>10598</v>
      </c>
      <c r="B599" s="2">
        <v>45913</v>
      </c>
      <c r="C599" s="1" t="s">
        <v>17</v>
      </c>
      <c r="D599" s="1" t="s">
        <v>33</v>
      </c>
      <c r="E599" s="1" t="s">
        <v>8</v>
      </c>
      <c r="F599" s="1" t="s">
        <v>12</v>
      </c>
      <c r="G599" s="1">
        <v>2</v>
      </c>
      <c r="H599" s="1">
        <v>29018.51</v>
      </c>
      <c r="I599" s="1">
        <v>0.1</v>
      </c>
      <c r="J599" s="1">
        <v>11165.47</v>
      </c>
      <c r="K599" s="1" t="s">
        <v>8</v>
      </c>
    </row>
    <row r="600" spans="1:11" ht="15" customHeight="1" x14ac:dyDescent="0.25">
      <c r="A600" s="1">
        <v>10599</v>
      </c>
      <c r="B600" s="2">
        <v>45879</v>
      </c>
      <c r="C600" s="1" t="s">
        <v>21</v>
      </c>
      <c r="D600" s="1" t="s">
        <v>34</v>
      </c>
      <c r="E600" s="1" t="s">
        <v>10</v>
      </c>
      <c r="F600" s="1" t="s">
        <v>12</v>
      </c>
      <c r="G600" s="1">
        <v>2</v>
      </c>
      <c r="H600" s="1">
        <v>61726.41</v>
      </c>
      <c r="I600" s="1">
        <v>0</v>
      </c>
      <c r="J600" s="1">
        <v>6354.68</v>
      </c>
      <c r="K600" s="1" t="s">
        <v>10</v>
      </c>
    </row>
    <row r="601" spans="1:11" ht="15" customHeight="1" x14ac:dyDescent="0.25">
      <c r="A601" s="1">
        <v>10600</v>
      </c>
      <c r="B601" s="2">
        <v>45883</v>
      </c>
      <c r="C601" s="1" t="s">
        <v>19</v>
      </c>
      <c r="D601" s="1" t="s">
        <v>39</v>
      </c>
      <c r="E601" s="1" t="s">
        <v>10</v>
      </c>
      <c r="F601" s="1" t="s">
        <v>13</v>
      </c>
      <c r="G601" s="1">
        <v>1</v>
      </c>
      <c r="H601" s="1">
        <v>49633.55</v>
      </c>
      <c r="I601" s="1">
        <v>0</v>
      </c>
      <c r="J601" s="1">
        <v>3143.91</v>
      </c>
      <c r="K601" s="1" t="s">
        <v>10</v>
      </c>
    </row>
    <row r="602" spans="1:11" ht="15" customHeight="1" x14ac:dyDescent="0.25">
      <c r="A602" s="1">
        <v>10601</v>
      </c>
      <c r="B602" s="2">
        <v>45710</v>
      </c>
      <c r="C602" s="1" t="s">
        <v>18</v>
      </c>
      <c r="D602" s="1" t="s">
        <v>35</v>
      </c>
      <c r="E602" s="1" t="s">
        <v>10</v>
      </c>
      <c r="F602" s="1" t="s">
        <v>13</v>
      </c>
      <c r="G602" s="1">
        <v>7</v>
      </c>
      <c r="H602" s="1">
        <v>59819.99</v>
      </c>
      <c r="I602" s="1">
        <v>0.15</v>
      </c>
      <c r="J602" s="1">
        <v>681.28</v>
      </c>
      <c r="K602" s="1" t="s">
        <v>10</v>
      </c>
    </row>
    <row r="603" spans="1:11" ht="15" customHeight="1" x14ac:dyDescent="0.25">
      <c r="A603" s="1">
        <v>10602</v>
      </c>
      <c r="B603" s="2">
        <v>46012</v>
      </c>
      <c r="C603" s="1" t="s">
        <v>20</v>
      </c>
      <c r="D603" s="1" t="s">
        <v>37</v>
      </c>
      <c r="E603" s="1" t="s">
        <v>8</v>
      </c>
      <c r="F603" s="1" t="s">
        <v>13</v>
      </c>
      <c r="G603" s="1">
        <v>6</v>
      </c>
      <c r="H603" s="1">
        <v>20759.98</v>
      </c>
      <c r="I603" s="1">
        <v>0.15</v>
      </c>
      <c r="J603" s="1">
        <v>8726.7099999999991</v>
      </c>
      <c r="K603" s="1" t="s">
        <v>8</v>
      </c>
    </row>
    <row r="604" spans="1:11" ht="15" customHeight="1" x14ac:dyDescent="0.25">
      <c r="A604" s="1">
        <v>10603</v>
      </c>
      <c r="B604" s="2">
        <v>45999</v>
      </c>
      <c r="C604" s="1" t="s">
        <v>21</v>
      </c>
      <c r="D604" s="1" t="s">
        <v>34</v>
      </c>
      <c r="E604" s="1" t="s">
        <v>10</v>
      </c>
      <c r="F604" s="1" t="s">
        <v>11</v>
      </c>
      <c r="G604" s="1">
        <v>7</v>
      </c>
      <c r="H604" s="1">
        <v>52080.74</v>
      </c>
      <c r="I604" s="1">
        <v>0.1</v>
      </c>
      <c r="J604" s="1">
        <v>1499.57</v>
      </c>
      <c r="K604" s="1" t="s">
        <v>10</v>
      </c>
    </row>
    <row r="605" spans="1:11" ht="15" customHeight="1" x14ac:dyDescent="0.25">
      <c r="A605" s="1">
        <v>10604</v>
      </c>
      <c r="B605" s="2">
        <v>46021</v>
      </c>
      <c r="C605" s="1" t="s">
        <v>21</v>
      </c>
      <c r="D605" s="1" t="s">
        <v>39</v>
      </c>
      <c r="E605" s="1" t="s">
        <v>10</v>
      </c>
      <c r="F605" s="1" t="s">
        <v>9</v>
      </c>
      <c r="G605" s="1">
        <v>3</v>
      </c>
      <c r="H605" s="1">
        <v>20172.62</v>
      </c>
      <c r="I605" s="1">
        <v>0.25</v>
      </c>
      <c r="J605" s="1">
        <v>3668.16</v>
      </c>
      <c r="K605" s="1" t="s">
        <v>10</v>
      </c>
    </row>
    <row r="606" spans="1:11" ht="15" customHeight="1" x14ac:dyDescent="0.25">
      <c r="A606" s="1">
        <v>10605</v>
      </c>
      <c r="B606" s="2">
        <v>45937</v>
      </c>
      <c r="C606" s="1" t="s">
        <v>23</v>
      </c>
      <c r="D606" s="1" t="s">
        <v>33</v>
      </c>
      <c r="E606" s="1" t="s">
        <v>8</v>
      </c>
      <c r="F606" s="1" t="s">
        <v>13</v>
      </c>
      <c r="G606" s="1">
        <v>1</v>
      </c>
      <c r="H606" s="1">
        <v>70460.600000000006</v>
      </c>
      <c r="I606" s="1">
        <v>0.1</v>
      </c>
      <c r="J606" s="1">
        <v>6413.03</v>
      </c>
      <c r="K606" s="1" t="s">
        <v>8</v>
      </c>
    </row>
    <row r="607" spans="1:11" ht="15" customHeight="1" x14ac:dyDescent="0.25">
      <c r="A607" s="1">
        <v>10606</v>
      </c>
      <c r="B607" s="2">
        <v>45738</v>
      </c>
      <c r="C607" s="1" t="s">
        <v>18</v>
      </c>
      <c r="D607" s="1" t="s">
        <v>36</v>
      </c>
      <c r="E607" s="1" t="s">
        <v>10</v>
      </c>
      <c r="F607" s="1" t="s">
        <v>13</v>
      </c>
      <c r="G607" s="1">
        <v>4</v>
      </c>
      <c r="H607" s="1">
        <v>47909.88</v>
      </c>
      <c r="I607" s="1">
        <v>0.2</v>
      </c>
      <c r="J607" s="1">
        <v>6794.78</v>
      </c>
      <c r="K607" s="1" t="s">
        <v>10</v>
      </c>
    </row>
    <row r="608" spans="1:11" ht="15" customHeight="1" x14ac:dyDescent="0.25">
      <c r="A608" s="1">
        <v>10607</v>
      </c>
      <c r="B608" s="2">
        <v>45859</v>
      </c>
      <c r="C608" s="1" t="s">
        <v>18</v>
      </c>
      <c r="D608" s="1" t="s">
        <v>33</v>
      </c>
      <c r="E608" s="1" t="s">
        <v>8</v>
      </c>
      <c r="F608" s="1" t="s">
        <v>11</v>
      </c>
      <c r="G608" s="1">
        <v>1</v>
      </c>
      <c r="H608" s="1">
        <v>24676.13</v>
      </c>
      <c r="I608" s="1">
        <v>0.25</v>
      </c>
      <c r="J608" s="1">
        <v>7226.97</v>
      </c>
      <c r="K608" s="1" t="s">
        <v>8</v>
      </c>
    </row>
    <row r="609" spans="1:11" ht="15" customHeight="1" x14ac:dyDescent="0.25">
      <c r="A609" s="1">
        <v>10608</v>
      </c>
      <c r="B609" s="2">
        <v>45815</v>
      </c>
      <c r="C609" s="1" t="s">
        <v>20</v>
      </c>
      <c r="D609" s="1" t="s">
        <v>37</v>
      </c>
      <c r="E609" s="1" t="s">
        <v>8</v>
      </c>
      <c r="F609" s="1" t="s">
        <v>13</v>
      </c>
      <c r="G609" s="1">
        <v>5</v>
      </c>
      <c r="H609" s="1">
        <v>20578.63</v>
      </c>
      <c r="I609" s="1">
        <v>0.05</v>
      </c>
      <c r="J609" s="1">
        <v>2036.75</v>
      </c>
      <c r="K609" s="1" t="s">
        <v>8</v>
      </c>
    </row>
    <row r="610" spans="1:11" ht="15" customHeight="1" x14ac:dyDescent="0.25">
      <c r="A610" s="1">
        <v>10609</v>
      </c>
      <c r="B610" s="2">
        <v>45777</v>
      </c>
      <c r="C610" s="1" t="s">
        <v>20</v>
      </c>
      <c r="D610" s="1" t="s">
        <v>34</v>
      </c>
      <c r="E610" s="1" t="s">
        <v>10</v>
      </c>
      <c r="F610" s="1" t="s">
        <v>11</v>
      </c>
      <c r="G610" s="1">
        <v>1</v>
      </c>
      <c r="H610" s="1">
        <v>14724.03</v>
      </c>
      <c r="I610" s="1">
        <v>0.1</v>
      </c>
      <c r="J610" s="1">
        <v>4587.8599999999997</v>
      </c>
      <c r="K610" s="1" t="s">
        <v>10</v>
      </c>
    </row>
    <row r="611" spans="1:11" ht="15" customHeight="1" x14ac:dyDescent="0.25">
      <c r="A611" s="1">
        <v>10610</v>
      </c>
      <c r="B611" s="2">
        <v>45716</v>
      </c>
      <c r="C611" s="1" t="s">
        <v>18</v>
      </c>
      <c r="D611" s="1" t="s">
        <v>37</v>
      </c>
      <c r="E611" s="1" t="s">
        <v>8</v>
      </c>
      <c r="F611" s="1" t="s">
        <v>12</v>
      </c>
      <c r="G611" s="1">
        <v>7</v>
      </c>
      <c r="H611" s="1">
        <v>52250.75</v>
      </c>
      <c r="I611" s="1">
        <v>0.15</v>
      </c>
      <c r="J611" s="1">
        <v>7425.47</v>
      </c>
      <c r="K611" s="1" t="s">
        <v>8</v>
      </c>
    </row>
    <row r="612" spans="1:11" ht="15" customHeight="1" x14ac:dyDescent="0.25">
      <c r="A612" s="1">
        <v>10611</v>
      </c>
      <c r="B612" s="2">
        <v>45872</v>
      </c>
      <c r="C612" s="1" t="s">
        <v>17</v>
      </c>
      <c r="D612" s="1" t="s">
        <v>35</v>
      </c>
      <c r="E612" s="1" t="s">
        <v>10</v>
      </c>
      <c r="F612" s="1" t="s">
        <v>13</v>
      </c>
      <c r="G612" s="1">
        <v>5</v>
      </c>
      <c r="H612" s="1">
        <v>16794.310000000001</v>
      </c>
      <c r="I612" s="1">
        <v>0.25</v>
      </c>
      <c r="J612" s="1">
        <v>11639.34</v>
      </c>
      <c r="K612" s="1" t="s">
        <v>10</v>
      </c>
    </row>
    <row r="613" spans="1:11" ht="15" customHeight="1" x14ac:dyDescent="0.25">
      <c r="A613" s="1">
        <v>10612</v>
      </c>
      <c r="B613" s="2">
        <v>45785</v>
      </c>
      <c r="C613" s="1" t="s">
        <v>21</v>
      </c>
      <c r="D613" s="1" t="s">
        <v>38</v>
      </c>
      <c r="E613" s="1" t="s">
        <v>10</v>
      </c>
      <c r="F613" s="1" t="s">
        <v>13</v>
      </c>
      <c r="G613" s="1">
        <v>5</v>
      </c>
      <c r="H613" s="1">
        <v>44850.09</v>
      </c>
      <c r="I613" s="1">
        <v>0.1</v>
      </c>
      <c r="J613" s="1">
        <v>8745.19</v>
      </c>
      <c r="K613" s="1" t="s">
        <v>10</v>
      </c>
    </row>
    <row r="614" spans="1:11" ht="15" customHeight="1" x14ac:dyDescent="0.25">
      <c r="A614" s="1">
        <v>10613</v>
      </c>
      <c r="B614" s="2">
        <v>45881</v>
      </c>
      <c r="C614" s="1" t="s">
        <v>25</v>
      </c>
      <c r="D614" s="1" t="s">
        <v>34</v>
      </c>
      <c r="E614" s="1" t="s">
        <v>10</v>
      </c>
      <c r="F614" s="1" t="s">
        <v>12</v>
      </c>
      <c r="G614" s="1">
        <v>5</v>
      </c>
      <c r="H614" s="1">
        <v>20215.310000000001</v>
      </c>
      <c r="I614" s="1">
        <v>0</v>
      </c>
      <c r="J614" s="1">
        <v>11075.11</v>
      </c>
      <c r="K614" s="1" t="s">
        <v>10</v>
      </c>
    </row>
    <row r="615" spans="1:11" ht="15" customHeight="1" x14ac:dyDescent="0.25">
      <c r="A615" s="1">
        <v>10614</v>
      </c>
      <c r="B615" s="2">
        <v>45866</v>
      </c>
      <c r="C615" s="1" t="s">
        <v>20</v>
      </c>
      <c r="D615" s="1" t="s">
        <v>38</v>
      </c>
      <c r="E615" s="1" t="s">
        <v>10</v>
      </c>
      <c r="F615" s="1" t="s">
        <v>12</v>
      </c>
      <c r="G615" s="1">
        <v>4</v>
      </c>
      <c r="H615" s="1">
        <v>49816.69</v>
      </c>
      <c r="I615" s="1">
        <v>0.05</v>
      </c>
      <c r="J615" s="1">
        <v>9158.43</v>
      </c>
      <c r="K615" s="1" t="s">
        <v>10</v>
      </c>
    </row>
    <row r="616" spans="1:11" ht="15" customHeight="1" x14ac:dyDescent="0.25">
      <c r="A616" s="1">
        <v>10615</v>
      </c>
      <c r="B616" s="2">
        <v>45772</v>
      </c>
      <c r="C616" s="1" t="s">
        <v>23</v>
      </c>
      <c r="D616" s="1" t="s">
        <v>39</v>
      </c>
      <c r="E616" s="1" t="s">
        <v>10</v>
      </c>
      <c r="F616" s="1" t="s">
        <v>12</v>
      </c>
      <c r="G616" s="1">
        <v>1</v>
      </c>
      <c r="H616" s="1">
        <v>61213.01</v>
      </c>
      <c r="I616" s="1">
        <v>0.2</v>
      </c>
      <c r="J616" s="1">
        <v>7121.02</v>
      </c>
      <c r="K616" s="1" t="s">
        <v>10</v>
      </c>
    </row>
    <row r="617" spans="1:11" ht="15" customHeight="1" x14ac:dyDescent="0.25">
      <c r="A617" s="1">
        <v>10616</v>
      </c>
      <c r="B617" s="2">
        <v>45866</v>
      </c>
      <c r="C617" s="1" t="s">
        <v>23</v>
      </c>
      <c r="D617" s="1" t="s">
        <v>36</v>
      </c>
      <c r="E617" s="1" t="s">
        <v>10</v>
      </c>
      <c r="F617" s="1" t="s">
        <v>13</v>
      </c>
      <c r="G617" s="1">
        <v>7</v>
      </c>
      <c r="H617" s="1">
        <v>58462.879999999997</v>
      </c>
      <c r="I617" s="1">
        <v>0</v>
      </c>
      <c r="J617" s="1">
        <v>2344.6799999999998</v>
      </c>
      <c r="K617" s="1" t="s">
        <v>10</v>
      </c>
    </row>
    <row r="618" spans="1:11" ht="15" customHeight="1" x14ac:dyDescent="0.25">
      <c r="A618" s="1">
        <v>10617</v>
      </c>
      <c r="B618" s="2">
        <v>45671</v>
      </c>
      <c r="C618" s="1" t="s">
        <v>20</v>
      </c>
      <c r="D618" s="1" t="s">
        <v>40</v>
      </c>
      <c r="E618" s="1" t="s">
        <v>10</v>
      </c>
      <c r="F618" s="1" t="s">
        <v>9</v>
      </c>
      <c r="G618" s="1">
        <v>1</v>
      </c>
      <c r="H618" s="1">
        <v>57183.42</v>
      </c>
      <c r="I618" s="1">
        <v>0</v>
      </c>
      <c r="J618" s="1">
        <v>8016.89</v>
      </c>
      <c r="K618" s="1" t="s">
        <v>10</v>
      </c>
    </row>
    <row r="619" spans="1:11" ht="15" customHeight="1" x14ac:dyDescent="0.25">
      <c r="A619" s="1">
        <v>10618</v>
      </c>
      <c r="B619" s="2">
        <v>45666</v>
      </c>
      <c r="C619" s="1" t="s">
        <v>18</v>
      </c>
      <c r="D619" s="1" t="s">
        <v>37</v>
      </c>
      <c r="E619" s="1" t="s">
        <v>8</v>
      </c>
      <c r="F619" s="1" t="s">
        <v>9</v>
      </c>
      <c r="G619" s="1">
        <v>4</v>
      </c>
      <c r="H619" s="1">
        <v>14485.32</v>
      </c>
      <c r="I619" s="1">
        <v>0.05</v>
      </c>
      <c r="J619" s="1">
        <v>7499.39</v>
      </c>
      <c r="K619" s="1" t="s">
        <v>8</v>
      </c>
    </row>
    <row r="620" spans="1:11" ht="15" customHeight="1" x14ac:dyDescent="0.25">
      <c r="A620" s="1">
        <v>10619</v>
      </c>
      <c r="B620" s="2">
        <v>45697</v>
      </c>
      <c r="C620" s="1" t="s">
        <v>19</v>
      </c>
      <c r="D620" s="1" t="s">
        <v>33</v>
      </c>
      <c r="E620" s="1" t="s">
        <v>8</v>
      </c>
      <c r="F620" s="1" t="s">
        <v>9</v>
      </c>
      <c r="G620" s="1">
        <v>3</v>
      </c>
      <c r="H620" s="1">
        <v>7084.68</v>
      </c>
      <c r="I620" s="1">
        <v>0.2</v>
      </c>
      <c r="J620" s="1">
        <v>7249.51</v>
      </c>
      <c r="K620" s="1" t="s">
        <v>8</v>
      </c>
    </row>
    <row r="621" spans="1:11" ht="15" customHeight="1" x14ac:dyDescent="0.25">
      <c r="A621" s="1">
        <v>10620</v>
      </c>
      <c r="B621" s="2">
        <v>45894</v>
      </c>
      <c r="C621" s="1" t="s">
        <v>25</v>
      </c>
      <c r="D621" s="1" t="s">
        <v>36</v>
      </c>
      <c r="E621" s="1" t="s">
        <v>10</v>
      </c>
      <c r="F621" s="1" t="s">
        <v>13</v>
      </c>
      <c r="G621" s="1">
        <v>2</v>
      </c>
      <c r="H621" s="1">
        <v>52571.69</v>
      </c>
      <c r="I621" s="1">
        <v>0.15</v>
      </c>
      <c r="J621" s="1">
        <v>5902.94</v>
      </c>
      <c r="K621" s="1" t="s">
        <v>10</v>
      </c>
    </row>
    <row r="622" spans="1:11" ht="15" customHeight="1" x14ac:dyDescent="0.25">
      <c r="A622" s="1">
        <v>10621</v>
      </c>
      <c r="B622" s="2">
        <v>45938</v>
      </c>
      <c r="C622" s="1" t="s">
        <v>25</v>
      </c>
      <c r="D622" s="1" t="s">
        <v>34</v>
      </c>
      <c r="E622" s="1" t="s">
        <v>10</v>
      </c>
      <c r="F622" s="1" t="s">
        <v>12</v>
      </c>
      <c r="G622" s="1">
        <v>7</v>
      </c>
      <c r="H622" s="1">
        <v>27941.87</v>
      </c>
      <c r="I622" s="1">
        <v>0.25</v>
      </c>
      <c r="J622" s="1">
        <v>6367.45</v>
      </c>
      <c r="K622" s="1" t="s">
        <v>10</v>
      </c>
    </row>
    <row r="623" spans="1:11" ht="15" customHeight="1" x14ac:dyDescent="0.25">
      <c r="A623" s="1">
        <v>10622</v>
      </c>
      <c r="B623" s="2">
        <v>46016</v>
      </c>
      <c r="C623" s="1" t="s">
        <v>20</v>
      </c>
      <c r="D623" s="1" t="s">
        <v>38</v>
      </c>
      <c r="E623" s="1" t="s">
        <v>10</v>
      </c>
      <c r="F623" s="1" t="s">
        <v>13</v>
      </c>
      <c r="G623" s="1">
        <v>7</v>
      </c>
      <c r="H623" s="1">
        <v>32709.79</v>
      </c>
      <c r="I623" s="1">
        <v>0.2</v>
      </c>
      <c r="J623" s="1">
        <v>4046.59</v>
      </c>
      <c r="K623" s="1" t="s">
        <v>10</v>
      </c>
    </row>
    <row r="624" spans="1:11" ht="15" customHeight="1" x14ac:dyDescent="0.25">
      <c r="A624" s="1">
        <v>10623</v>
      </c>
      <c r="B624" s="2">
        <v>45858</v>
      </c>
      <c r="C624" s="1" t="s">
        <v>17</v>
      </c>
      <c r="D624" s="1" t="s">
        <v>33</v>
      </c>
      <c r="E624" s="1" t="s">
        <v>8</v>
      </c>
      <c r="F624" s="1" t="s">
        <v>12</v>
      </c>
      <c r="G624" s="1">
        <v>1</v>
      </c>
      <c r="H624" s="1">
        <v>2820.61</v>
      </c>
      <c r="I624" s="1">
        <v>0.1</v>
      </c>
      <c r="J624" s="1">
        <v>6255.79</v>
      </c>
      <c r="K624" s="1" t="s">
        <v>8</v>
      </c>
    </row>
    <row r="625" spans="1:11" ht="15" customHeight="1" x14ac:dyDescent="0.25">
      <c r="A625" s="1">
        <v>10624</v>
      </c>
      <c r="B625" s="2">
        <v>45903</v>
      </c>
      <c r="C625" s="1" t="s">
        <v>19</v>
      </c>
      <c r="D625" s="1" t="s">
        <v>38</v>
      </c>
      <c r="E625" s="1" t="s">
        <v>10</v>
      </c>
      <c r="F625" s="1" t="s">
        <v>13</v>
      </c>
      <c r="G625" s="1">
        <v>2</v>
      </c>
      <c r="H625" s="1">
        <v>19838.45</v>
      </c>
      <c r="I625" s="1">
        <v>0</v>
      </c>
      <c r="J625" s="1">
        <v>2410.79</v>
      </c>
      <c r="K625" s="1" t="s">
        <v>10</v>
      </c>
    </row>
    <row r="626" spans="1:11" ht="15" customHeight="1" x14ac:dyDescent="0.25">
      <c r="A626" s="1">
        <v>10625</v>
      </c>
      <c r="B626" s="2">
        <v>45935</v>
      </c>
      <c r="C626" s="1" t="s">
        <v>25</v>
      </c>
      <c r="D626" s="1" t="s">
        <v>35</v>
      </c>
      <c r="E626" s="1" t="s">
        <v>10</v>
      </c>
      <c r="F626" s="1" t="s">
        <v>13</v>
      </c>
      <c r="G626" s="1">
        <v>6</v>
      </c>
      <c r="H626" s="1">
        <v>3008.89</v>
      </c>
      <c r="I626" s="1">
        <v>0.1</v>
      </c>
      <c r="J626" s="1">
        <v>9671.83</v>
      </c>
      <c r="K626" s="1" t="s">
        <v>10</v>
      </c>
    </row>
    <row r="627" spans="1:11" ht="15" customHeight="1" x14ac:dyDescent="0.25">
      <c r="A627" s="1">
        <v>10626</v>
      </c>
      <c r="B627" s="2">
        <v>45892</v>
      </c>
      <c r="C627" s="1" t="s">
        <v>20</v>
      </c>
      <c r="D627" s="1" t="s">
        <v>38</v>
      </c>
      <c r="E627" s="1" t="s">
        <v>10</v>
      </c>
      <c r="F627" s="1" t="s">
        <v>12</v>
      </c>
      <c r="G627" s="1">
        <v>6</v>
      </c>
      <c r="H627" s="1">
        <v>65999.34</v>
      </c>
      <c r="I627" s="1">
        <v>0.15</v>
      </c>
      <c r="J627" s="1">
        <v>2270.0300000000002</v>
      </c>
      <c r="K627" s="1" t="s">
        <v>10</v>
      </c>
    </row>
    <row r="628" spans="1:11" ht="15" customHeight="1" x14ac:dyDescent="0.25">
      <c r="A628" s="1">
        <v>10627</v>
      </c>
      <c r="B628" s="2">
        <v>45661</v>
      </c>
      <c r="C628" s="1" t="s">
        <v>23</v>
      </c>
      <c r="D628" s="1" t="s">
        <v>35</v>
      </c>
      <c r="E628" s="1" t="s">
        <v>10</v>
      </c>
      <c r="F628" s="1" t="s">
        <v>9</v>
      </c>
      <c r="G628" s="1">
        <v>4</v>
      </c>
      <c r="H628" s="1">
        <v>18633.05</v>
      </c>
      <c r="I628" s="1">
        <v>0.1</v>
      </c>
      <c r="J628" s="1">
        <v>1065.3499999999999</v>
      </c>
      <c r="K628" s="1" t="s">
        <v>10</v>
      </c>
    </row>
    <row r="629" spans="1:11" ht="15" customHeight="1" x14ac:dyDescent="0.25">
      <c r="A629" s="1">
        <v>10628</v>
      </c>
      <c r="B629" s="2">
        <v>45811</v>
      </c>
      <c r="C629" s="1" t="s">
        <v>25</v>
      </c>
      <c r="D629" s="1" t="s">
        <v>39</v>
      </c>
      <c r="E629" s="1" t="s">
        <v>10</v>
      </c>
      <c r="F629" s="1" t="s">
        <v>12</v>
      </c>
      <c r="G629" s="1">
        <v>6</v>
      </c>
      <c r="H629" s="1">
        <v>42021.62</v>
      </c>
      <c r="I629" s="1">
        <v>0.2</v>
      </c>
      <c r="J629" s="1">
        <v>5263.14</v>
      </c>
      <c r="K629" s="1" t="s">
        <v>10</v>
      </c>
    </row>
    <row r="630" spans="1:11" ht="15" customHeight="1" x14ac:dyDescent="0.25">
      <c r="A630" s="1">
        <v>10629</v>
      </c>
      <c r="B630" s="2">
        <v>45686</v>
      </c>
      <c r="C630" s="1" t="s">
        <v>22</v>
      </c>
      <c r="D630" s="1" t="s">
        <v>33</v>
      </c>
      <c r="E630" s="1" t="s">
        <v>8</v>
      </c>
      <c r="F630" s="1" t="s">
        <v>11</v>
      </c>
      <c r="G630" s="1">
        <v>7</v>
      </c>
      <c r="H630" s="1">
        <v>3403.96</v>
      </c>
      <c r="I630" s="1">
        <v>0.1</v>
      </c>
      <c r="J630" s="1">
        <v>7916.77</v>
      </c>
      <c r="K630" s="1" t="s">
        <v>8</v>
      </c>
    </row>
    <row r="631" spans="1:11" ht="15" customHeight="1" x14ac:dyDescent="0.25">
      <c r="A631" s="1">
        <v>10630</v>
      </c>
      <c r="B631" s="2">
        <v>45766</v>
      </c>
      <c r="C631" s="1" t="s">
        <v>19</v>
      </c>
      <c r="D631" s="1" t="s">
        <v>33</v>
      </c>
      <c r="E631" s="1" t="s">
        <v>8</v>
      </c>
      <c r="F631" s="1" t="s">
        <v>11</v>
      </c>
      <c r="G631" s="1">
        <v>6</v>
      </c>
      <c r="H631" s="1">
        <v>50180.13</v>
      </c>
      <c r="I631" s="1">
        <v>0.15</v>
      </c>
      <c r="J631" s="1">
        <v>5280.72</v>
      </c>
      <c r="K631" s="1" t="s">
        <v>8</v>
      </c>
    </row>
    <row r="632" spans="1:11" ht="15" customHeight="1" x14ac:dyDescent="0.25">
      <c r="A632" s="1">
        <v>10631</v>
      </c>
      <c r="B632" s="2">
        <v>45755</v>
      </c>
      <c r="C632" s="1" t="s">
        <v>19</v>
      </c>
      <c r="D632" s="1" t="s">
        <v>40</v>
      </c>
      <c r="E632" s="1" t="s">
        <v>10</v>
      </c>
      <c r="F632" s="1" t="s">
        <v>12</v>
      </c>
      <c r="G632" s="1">
        <v>3</v>
      </c>
      <c r="H632" s="1">
        <v>24565.54</v>
      </c>
      <c r="I632" s="1">
        <v>0.15</v>
      </c>
      <c r="J632" s="1">
        <v>3357.21</v>
      </c>
      <c r="K632" s="1" t="s">
        <v>10</v>
      </c>
    </row>
    <row r="633" spans="1:11" ht="15" customHeight="1" x14ac:dyDescent="0.25">
      <c r="A633" s="1">
        <v>10632</v>
      </c>
      <c r="B633" s="2">
        <v>45872</v>
      </c>
      <c r="C633" s="1" t="s">
        <v>22</v>
      </c>
      <c r="D633" s="1" t="s">
        <v>34</v>
      </c>
      <c r="E633" s="1" t="s">
        <v>10</v>
      </c>
      <c r="F633" s="1" t="s">
        <v>13</v>
      </c>
      <c r="G633" s="1">
        <v>3</v>
      </c>
      <c r="H633" s="1">
        <v>67394.98</v>
      </c>
      <c r="I633" s="1">
        <v>0.15</v>
      </c>
      <c r="J633" s="1">
        <v>6720.15</v>
      </c>
      <c r="K633" s="1" t="s">
        <v>10</v>
      </c>
    </row>
    <row r="634" spans="1:11" ht="15" customHeight="1" x14ac:dyDescent="0.25">
      <c r="A634" s="1">
        <v>10633</v>
      </c>
      <c r="B634" s="2">
        <v>45950</v>
      </c>
      <c r="C634" s="1" t="s">
        <v>21</v>
      </c>
      <c r="D634" s="1" t="s">
        <v>35</v>
      </c>
      <c r="E634" s="1" t="s">
        <v>10</v>
      </c>
      <c r="F634" s="1" t="s">
        <v>11</v>
      </c>
      <c r="G634" s="1">
        <v>3</v>
      </c>
      <c r="H634" s="1">
        <v>66664.81</v>
      </c>
      <c r="I634" s="1">
        <v>0.2</v>
      </c>
      <c r="J634" s="1">
        <v>4196.68</v>
      </c>
      <c r="K634" s="1" t="s">
        <v>10</v>
      </c>
    </row>
    <row r="635" spans="1:11" ht="15" customHeight="1" x14ac:dyDescent="0.25">
      <c r="A635" s="1">
        <v>10634</v>
      </c>
      <c r="B635" s="2">
        <v>45732</v>
      </c>
      <c r="C635" s="1" t="s">
        <v>23</v>
      </c>
      <c r="D635" s="1" t="s">
        <v>40</v>
      </c>
      <c r="E635" s="1" t="s">
        <v>10</v>
      </c>
      <c r="F635" s="1" t="s">
        <v>11</v>
      </c>
      <c r="G635" s="1">
        <v>6</v>
      </c>
      <c r="H635" s="1">
        <v>24734.15</v>
      </c>
      <c r="I635" s="1">
        <v>0.15</v>
      </c>
      <c r="J635" s="1">
        <v>11197.77</v>
      </c>
      <c r="K635" s="1" t="s">
        <v>10</v>
      </c>
    </row>
    <row r="636" spans="1:11" ht="15" customHeight="1" x14ac:dyDescent="0.25">
      <c r="A636" s="1">
        <v>10635</v>
      </c>
      <c r="B636" s="2">
        <v>45983</v>
      </c>
      <c r="C636" s="1" t="s">
        <v>22</v>
      </c>
      <c r="D636" s="1" t="s">
        <v>38</v>
      </c>
      <c r="E636" s="1" t="s">
        <v>10</v>
      </c>
      <c r="F636" s="1" t="s">
        <v>13</v>
      </c>
      <c r="G636" s="1">
        <v>4</v>
      </c>
      <c r="H636" s="1">
        <v>67621.59</v>
      </c>
      <c r="I636" s="1">
        <v>0</v>
      </c>
      <c r="J636" s="1">
        <v>11075.61</v>
      </c>
      <c r="K636" s="1" t="s">
        <v>10</v>
      </c>
    </row>
    <row r="637" spans="1:11" ht="15" customHeight="1" x14ac:dyDescent="0.25">
      <c r="A637" s="1">
        <v>10636</v>
      </c>
      <c r="B637" s="2">
        <v>45803</v>
      </c>
      <c r="C637" s="1" t="s">
        <v>18</v>
      </c>
      <c r="D637" s="1" t="s">
        <v>38</v>
      </c>
      <c r="E637" s="1" t="s">
        <v>10</v>
      </c>
      <c r="F637" s="1" t="s">
        <v>13</v>
      </c>
      <c r="G637" s="1">
        <v>5</v>
      </c>
      <c r="H637" s="1">
        <v>74713.75</v>
      </c>
      <c r="I637" s="1">
        <v>0.15</v>
      </c>
      <c r="J637" s="1">
        <v>6053.34</v>
      </c>
      <c r="K637" s="1" t="s">
        <v>10</v>
      </c>
    </row>
    <row r="638" spans="1:11" ht="15" customHeight="1" x14ac:dyDescent="0.25">
      <c r="A638" s="1">
        <v>10637</v>
      </c>
      <c r="B638" s="2">
        <v>45785</v>
      </c>
      <c r="C638" s="1" t="s">
        <v>18</v>
      </c>
      <c r="D638" s="1" t="s">
        <v>40</v>
      </c>
      <c r="E638" s="1" t="s">
        <v>10</v>
      </c>
      <c r="F638" s="1" t="s">
        <v>9</v>
      </c>
      <c r="G638" s="1">
        <v>5</v>
      </c>
      <c r="H638" s="1">
        <v>61993.47</v>
      </c>
      <c r="I638" s="1">
        <v>0.1</v>
      </c>
      <c r="J638" s="1">
        <v>3968.21</v>
      </c>
      <c r="K638" s="1" t="s">
        <v>10</v>
      </c>
    </row>
    <row r="639" spans="1:11" ht="15" customHeight="1" x14ac:dyDescent="0.25">
      <c r="A639" s="1">
        <v>10638</v>
      </c>
      <c r="B639" s="2">
        <v>45998</v>
      </c>
      <c r="C639" s="1" t="s">
        <v>20</v>
      </c>
      <c r="D639" s="1" t="s">
        <v>33</v>
      </c>
      <c r="E639" s="1" t="s">
        <v>8</v>
      </c>
      <c r="F639" s="1" t="s">
        <v>13</v>
      </c>
      <c r="G639" s="1">
        <v>2</v>
      </c>
      <c r="H639" s="1">
        <v>63442.92</v>
      </c>
      <c r="I639" s="1">
        <v>0.25</v>
      </c>
      <c r="J639" s="1">
        <v>8858.73</v>
      </c>
      <c r="K639" s="1" t="s">
        <v>8</v>
      </c>
    </row>
    <row r="640" spans="1:11" ht="15" customHeight="1" x14ac:dyDescent="0.25">
      <c r="A640" s="1">
        <v>10639</v>
      </c>
      <c r="B640" s="2">
        <v>45699</v>
      </c>
      <c r="C640" s="1" t="s">
        <v>19</v>
      </c>
      <c r="D640" s="1" t="s">
        <v>38</v>
      </c>
      <c r="E640" s="1" t="s">
        <v>10</v>
      </c>
      <c r="F640" s="1" t="s">
        <v>12</v>
      </c>
      <c r="G640" s="1">
        <v>5</v>
      </c>
      <c r="H640" s="1">
        <v>19051.150000000001</v>
      </c>
      <c r="I640" s="1">
        <v>0.1</v>
      </c>
      <c r="J640" s="1">
        <v>488.72</v>
      </c>
      <c r="K640" s="1" t="s">
        <v>10</v>
      </c>
    </row>
    <row r="641" spans="1:11" ht="15" customHeight="1" x14ac:dyDescent="0.25">
      <c r="A641" s="1">
        <v>10640</v>
      </c>
      <c r="B641" s="2">
        <v>46013</v>
      </c>
      <c r="C641" s="1" t="s">
        <v>21</v>
      </c>
      <c r="D641" s="1" t="s">
        <v>37</v>
      </c>
      <c r="E641" s="1" t="s">
        <v>8</v>
      </c>
      <c r="F641" s="1" t="s">
        <v>12</v>
      </c>
      <c r="G641" s="1">
        <v>5</v>
      </c>
      <c r="H641" s="1">
        <v>43464.33</v>
      </c>
      <c r="I641" s="1">
        <v>0.25</v>
      </c>
      <c r="J641" s="1">
        <v>5723.49</v>
      </c>
      <c r="K641" s="1" t="s">
        <v>8</v>
      </c>
    </row>
    <row r="642" spans="1:11" ht="15" customHeight="1" x14ac:dyDescent="0.25">
      <c r="A642" s="1">
        <v>10641</v>
      </c>
      <c r="B642" s="2">
        <v>45698</v>
      </c>
      <c r="C642" s="1" t="s">
        <v>21</v>
      </c>
      <c r="D642" s="1" t="s">
        <v>39</v>
      </c>
      <c r="E642" s="1" t="s">
        <v>10</v>
      </c>
      <c r="F642" s="1" t="s">
        <v>9</v>
      </c>
      <c r="G642" s="1">
        <v>3</v>
      </c>
      <c r="H642" s="1">
        <v>5510.57</v>
      </c>
      <c r="I642" s="1">
        <v>0.1</v>
      </c>
      <c r="J642" s="1">
        <v>4069.06</v>
      </c>
      <c r="K642" s="1" t="s">
        <v>10</v>
      </c>
    </row>
    <row r="643" spans="1:11" ht="15" customHeight="1" x14ac:dyDescent="0.25">
      <c r="A643" s="1">
        <v>10642</v>
      </c>
      <c r="B643" s="2">
        <v>45691</v>
      </c>
      <c r="C643" s="1" t="s">
        <v>25</v>
      </c>
      <c r="D643" s="1" t="s">
        <v>39</v>
      </c>
      <c r="E643" s="1" t="s">
        <v>10</v>
      </c>
      <c r="F643" s="1" t="s">
        <v>11</v>
      </c>
      <c r="G643" s="1">
        <v>3</v>
      </c>
      <c r="H643" s="1">
        <v>7571.39</v>
      </c>
      <c r="I643" s="1">
        <v>0.2</v>
      </c>
      <c r="J643" s="1">
        <v>11050.4</v>
      </c>
      <c r="K643" s="1" t="s">
        <v>10</v>
      </c>
    </row>
    <row r="644" spans="1:11" ht="15" customHeight="1" x14ac:dyDescent="0.25">
      <c r="A644" s="1">
        <v>10643</v>
      </c>
      <c r="B644" s="2">
        <v>45674</v>
      </c>
      <c r="C644" s="1" t="s">
        <v>25</v>
      </c>
      <c r="D644" s="1" t="s">
        <v>37</v>
      </c>
      <c r="E644" s="1" t="s">
        <v>8</v>
      </c>
      <c r="F644" s="1" t="s">
        <v>11</v>
      </c>
      <c r="G644" s="1">
        <v>6</v>
      </c>
      <c r="H644" s="1">
        <v>74917.5</v>
      </c>
      <c r="I644" s="1">
        <v>0.1</v>
      </c>
      <c r="J644" s="1">
        <v>193.44</v>
      </c>
      <c r="K644" s="1" t="s">
        <v>8</v>
      </c>
    </row>
    <row r="645" spans="1:11" ht="15" customHeight="1" x14ac:dyDescent="0.25">
      <c r="A645" s="1">
        <v>10644</v>
      </c>
      <c r="B645" s="2">
        <v>45822</v>
      </c>
      <c r="C645" s="1" t="s">
        <v>22</v>
      </c>
      <c r="D645" s="1" t="s">
        <v>40</v>
      </c>
      <c r="E645" s="1" t="s">
        <v>10</v>
      </c>
      <c r="F645" s="1" t="s">
        <v>13</v>
      </c>
      <c r="G645" s="1">
        <v>2</v>
      </c>
      <c r="H645" s="1">
        <v>24834.62</v>
      </c>
      <c r="I645" s="1">
        <v>0.2</v>
      </c>
      <c r="J645" s="1">
        <v>6656.14</v>
      </c>
      <c r="K645" s="1" t="s">
        <v>10</v>
      </c>
    </row>
    <row r="646" spans="1:11" ht="15" customHeight="1" x14ac:dyDescent="0.25">
      <c r="A646" s="1">
        <v>10645</v>
      </c>
      <c r="B646" s="2">
        <v>45810</v>
      </c>
      <c r="C646" s="1" t="s">
        <v>21</v>
      </c>
      <c r="D646" s="1" t="s">
        <v>37</v>
      </c>
      <c r="E646" s="1" t="s">
        <v>8</v>
      </c>
      <c r="F646" s="1" t="s">
        <v>12</v>
      </c>
      <c r="G646" s="1">
        <v>1</v>
      </c>
      <c r="H646" s="1">
        <v>56239.7</v>
      </c>
      <c r="I646" s="1">
        <v>0.2</v>
      </c>
      <c r="J646" s="1">
        <v>8900.93</v>
      </c>
      <c r="K646" s="1" t="s">
        <v>8</v>
      </c>
    </row>
    <row r="647" spans="1:11" ht="15" customHeight="1" x14ac:dyDescent="0.25">
      <c r="A647" s="1">
        <v>10646</v>
      </c>
      <c r="B647" s="2">
        <v>45733</v>
      </c>
      <c r="C647" s="1" t="s">
        <v>22</v>
      </c>
      <c r="D647" s="1" t="s">
        <v>35</v>
      </c>
      <c r="E647" s="1" t="s">
        <v>10</v>
      </c>
      <c r="F647" s="1" t="s">
        <v>11</v>
      </c>
      <c r="G647" s="1">
        <v>7</v>
      </c>
      <c r="H647" s="1">
        <v>60596.55</v>
      </c>
      <c r="I647" s="1">
        <v>0.15</v>
      </c>
      <c r="J647" s="1">
        <v>5845.96</v>
      </c>
      <c r="K647" s="1" t="s">
        <v>10</v>
      </c>
    </row>
    <row r="648" spans="1:11" ht="15" customHeight="1" x14ac:dyDescent="0.25">
      <c r="A648" s="1">
        <v>10647</v>
      </c>
      <c r="B648" s="2">
        <v>45744</v>
      </c>
      <c r="C648" s="1" t="s">
        <v>23</v>
      </c>
      <c r="D648" s="1" t="s">
        <v>35</v>
      </c>
      <c r="E648" s="1" t="s">
        <v>10</v>
      </c>
      <c r="F648" s="1" t="s">
        <v>9</v>
      </c>
      <c r="G648" s="1">
        <v>2</v>
      </c>
      <c r="H648" s="1">
        <v>64422.73</v>
      </c>
      <c r="I648" s="1">
        <v>0</v>
      </c>
      <c r="J648" s="1">
        <v>1070.57</v>
      </c>
      <c r="K648" s="1" t="s">
        <v>10</v>
      </c>
    </row>
    <row r="649" spans="1:11" ht="15" customHeight="1" x14ac:dyDescent="0.25">
      <c r="A649" s="1">
        <v>10648</v>
      </c>
      <c r="B649" s="2">
        <v>45774</v>
      </c>
      <c r="C649" s="1" t="s">
        <v>22</v>
      </c>
      <c r="D649" s="1" t="s">
        <v>40</v>
      </c>
      <c r="E649" s="1" t="s">
        <v>10</v>
      </c>
      <c r="F649" s="1" t="s">
        <v>9</v>
      </c>
      <c r="G649" s="1">
        <v>2</v>
      </c>
      <c r="H649" s="1">
        <v>74823.31</v>
      </c>
      <c r="I649" s="1">
        <v>0.25</v>
      </c>
      <c r="J649" s="1">
        <v>11670.91</v>
      </c>
      <c r="K649" s="1" t="s">
        <v>10</v>
      </c>
    </row>
    <row r="650" spans="1:11" ht="15" customHeight="1" x14ac:dyDescent="0.25">
      <c r="A650" s="1">
        <v>10649</v>
      </c>
      <c r="B650" s="2">
        <v>46019</v>
      </c>
      <c r="C650" s="1" t="s">
        <v>25</v>
      </c>
      <c r="D650" s="1" t="s">
        <v>37</v>
      </c>
      <c r="E650" s="1" t="s">
        <v>8</v>
      </c>
      <c r="F650" s="1" t="s">
        <v>12</v>
      </c>
      <c r="G650" s="1">
        <v>4</v>
      </c>
      <c r="H650" s="1">
        <v>18491.490000000002</v>
      </c>
      <c r="I650" s="1">
        <v>0.15</v>
      </c>
      <c r="J650" s="1">
        <v>6240.22</v>
      </c>
      <c r="K650" s="1" t="s">
        <v>8</v>
      </c>
    </row>
    <row r="651" spans="1:11" ht="15" customHeight="1" x14ac:dyDescent="0.25">
      <c r="A651" s="1">
        <v>10650</v>
      </c>
      <c r="B651" s="2">
        <v>45999</v>
      </c>
      <c r="C651" s="1" t="s">
        <v>19</v>
      </c>
      <c r="D651" s="1" t="s">
        <v>35</v>
      </c>
      <c r="E651" s="1" t="s">
        <v>10</v>
      </c>
      <c r="F651" s="1" t="s">
        <v>9</v>
      </c>
      <c r="G651" s="1">
        <v>6</v>
      </c>
      <c r="H651" s="1">
        <v>3506.14</v>
      </c>
      <c r="I651" s="1">
        <v>0.15</v>
      </c>
      <c r="J651" s="1">
        <v>7389.53</v>
      </c>
      <c r="K651" s="1" t="s">
        <v>10</v>
      </c>
    </row>
    <row r="652" spans="1:11" ht="15" customHeight="1" x14ac:dyDescent="0.25">
      <c r="A652" s="1">
        <v>10651</v>
      </c>
      <c r="B652" s="2">
        <v>45684</v>
      </c>
      <c r="C652" s="1" t="s">
        <v>22</v>
      </c>
      <c r="D652" s="1" t="s">
        <v>33</v>
      </c>
      <c r="E652" s="1" t="s">
        <v>8</v>
      </c>
      <c r="F652" s="1" t="s">
        <v>9</v>
      </c>
      <c r="G652" s="1">
        <v>4</v>
      </c>
      <c r="H652" s="1">
        <v>31133.77</v>
      </c>
      <c r="I652" s="1">
        <v>0.2</v>
      </c>
      <c r="J652" s="1">
        <v>2877.49</v>
      </c>
      <c r="K652" s="1" t="s">
        <v>8</v>
      </c>
    </row>
    <row r="653" spans="1:11" ht="15" customHeight="1" x14ac:dyDescent="0.25">
      <c r="A653" s="1">
        <v>10652</v>
      </c>
      <c r="B653" s="2">
        <v>45970</v>
      </c>
      <c r="C653" s="1" t="s">
        <v>17</v>
      </c>
      <c r="D653" s="1" t="s">
        <v>37</v>
      </c>
      <c r="E653" s="1" t="s">
        <v>8</v>
      </c>
      <c r="F653" s="1" t="s">
        <v>12</v>
      </c>
      <c r="G653" s="1">
        <v>2</v>
      </c>
      <c r="H653" s="1">
        <v>10191.01</v>
      </c>
      <c r="I653" s="1">
        <v>0.2</v>
      </c>
      <c r="J653" s="1">
        <v>5827.8</v>
      </c>
      <c r="K653" s="1" t="s">
        <v>8</v>
      </c>
    </row>
    <row r="654" spans="1:11" ht="15" customHeight="1" x14ac:dyDescent="0.25">
      <c r="A654" s="1">
        <v>10653</v>
      </c>
      <c r="B654" s="2">
        <v>45944</v>
      </c>
      <c r="C654" s="1" t="s">
        <v>19</v>
      </c>
      <c r="D654" s="1" t="s">
        <v>33</v>
      </c>
      <c r="E654" s="1" t="s">
        <v>8</v>
      </c>
      <c r="F654" s="1" t="s">
        <v>13</v>
      </c>
      <c r="G654" s="1">
        <v>2</v>
      </c>
      <c r="H654" s="1">
        <v>2170.73</v>
      </c>
      <c r="I654" s="1">
        <v>0.25</v>
      </c>
      <c r="J654" s="1">
        <v>5178.34</v>
      </c>
      <c r="K654" s="1" t="s">
        <v>8</v>
      </c>
    </row>
    <row r="655" spans="1:11" ht="15" customHeight="1" x14ac:dyDescent="0.25">
      <c r="A655" s="1">
        <v>10654</v>
      </c>
      <c r="B655" s="2">
        <v>45791</v>
      </c>
      <c r="C655" s="1" t="s">
        <v>21</v>
      </c>
      <c r="D655" s="1" t="s">
        <v>35</v>
      </c>
      <c r="E655" s="1" t="s">
        <v>10</v>
      </c>
      <c r="F655" s="1" t="s">
        <v>13</v>
      </c>
      <c r="G655" s="1">
        <v>2</v>
      </c>
      <c r="H655" s="1">
        <v>27351.8</v>
      </c>
      <c r="I655" s="1">
        <v>0.1</v>
      </c>
      <c r="J655" s="1">
        <v>945.01</v>
      </c>
      <c r="K655" s="1" t="s">
        <v>10</v>
      </c>
    </row>
    <row r="656" spans="1:11" ht="15" customHeight="1" x14ac:dyDescent="0.25">
      <c r="A656" s="1">
        <v>10655</v>
      </c>
      <c r="B656" s="2">
        <v>45876</v>
      </c>
      <c r="C656" s="1" t="s">
        <v>21</v>
      </c>
      <c r="D656" s="1" t="s">
        <v>39</v>
      </c>
      <c r="E656" s="1" t="s">
        <v>10</v>
      </c>
      <c r="F656" s="1" t="s">
        <v>9</v>
      </c>
      <c r="G656" s="1">
        <v>5</v>
      </c>
      <c r="H656" s="1">
        <v>58888.5</v>
      </c>
      <c r="I656" s="1">
        <v>0.1</v>
      </c>
      <c r="J656" s="1">
        <v>1318.62</v>
      </c>
      <c r="K656" s="1" t="s">
        <v>10</v>
      </c>
    </row>
    <row r="657" spans="1:11" ht="15" customHeight="1" x14ac:dyDescent="0.25">
      <c r="A657" s="1">
        <v>10656</v>
      </c>
      <c r="B657" s="2">
        <v>45825</v>
      </c>
      <c r="C657" s="1" t="s">
        <v>22</v>
      </c>
      <c r="D657" s="1" t="s">
        <v>35</v>
      </c>
      <c r="E657" s="1" t="s">
        <v>10</v>
      </c>
      <c r="F657" s="1" t="s">
        <v>13</v>
      </c>
      <c r="G657" s="1">
        <v>7</v>
      </c>
      <c r="H657" s="1">
        <v>42680.46</v>
      </c>
      <c r="I657" s="1">
        <v>0.15</v>
      </c>
      <c r="J657" s="1">
        <v>10057.799999999999</v>
      </c>
      <c r="K657" s="1" t="s">
        <v>10</v>
      </c>
    </row>
    <row r="658" spans="1:11" ht="15" customHeight="1" x14ac:dyDescent="0.25">
      <c r="A658" s="1">
        <v>10657</v>
      </c>
      <c r="B658" s="2">
        <v>45755</v>
      </c>
      <c r="C658" s="1" t="s">
        <v>19</v>
      </c>
      <c r="D658" s="1" t="s">
        <v>33</v>
      </c>
      <c r="E658" s="1" t="s">
        <v>8</v>
      </c>
      <c r="F658" s="1" t="s">
        <v>13</v>
      </c>
      <c r="G658" s="1">
        <v>7</v>
      </c>
      <c r="H658" s="1">
        <v>23801.96</v>
      </c>
      <c r="I658" s="1">
        <v>0.05</v>
      </c>
      <c r="J658" s="1">
        <v>2915.85</v>
      </c>
      <c r="K658" s="1" t="s">
        <v>8</v>
      </c>
    </row>
    <row r="659" spans="1:11" ht="15" customHeight="1" x14ac:dyDescent="0.25">
      <c r="A659" s="1">
        <v>10658</v>
      </c>
      <c r="B659" s="2">
        <v>45925</v>
      </c>
      <c r="C659" s="1" t="s">
        <v>25</v>
      </c>
      <c r="D659" s="1" t="s">
        <v>36</v>
      </c>
      <c r="E659" s="1" t="s">
        <v>10</v>
      </c>
      <c r="F659" s="1" t="s">
        <v>9</v>
      </c>
      <c r="G659" s="1">
        <v>4</v>
      </c>
      <c r="H659" s="1">
        <v>49248.480000000003</v>
      </c>
      <c r="I659" s="1">
        <v>0.05</v>
      </c>
      <c r="J659" s="1">
        <v>2379.75</v>
      </c>
      <c r="K659" s="1" t="s">
        <v>10</v>
      </c>
    </row>
    <row r="660" spans="1:11" ht="15" customHeight="1" x14ac:dyDescent="0.25">
      <c r="A660" s="1">
        <v>10659</v>
      </c>
      <c r="B660" s="2">
        <v>45894</v>
      </c>
      <c r="C660" s="1" t="s">
        <v>25</v>
      </c>
      <c r="D660" s="1" t="s">
        <v>34</v>
      </c>
      <c r="E660" s="1" t="s">
        <v>10</v>
      </c>
      <c r="F660" s="1" t="s">
        <v>13</v>
      </c>
      <c r="G660" s="1">
        <v>2</v>
      </c>
      <c r="H660" s="1">
        <v>17785.349999999999</v>
      </c>
      <c r="I660" s="1">
        <v>0.1</v>
      </c>
      <c r="J660" s="1">
        <v>6083.69</v>
      </c>
      <c r="K660" s="1" t="s">
        <v>10</v>
      </c>
    </row>
    <row r="661" spans="1:11" ht="15" customHeight="1" x14ac:dyDescent="0.25">
      <c r="A661" s="1">
        <v>10660</v>
      </c>
      <c r="B661" s="2">
        <v>45966</v>
      </c>
      <c r="C661" s="1" t="s">
        <v>18</v>
      </c>
      <c r="D661" s="1" t="s">
        <v>38</v>
      </c>
      <c r="E661" s="1" t="s">
        <v>10</v>
      </c>
      <c r="F661" s="1" t="s">
        <v>9</v>
      </c>
      <c r="G661" s="1">
        <v>7</v>
      </c>
      <c r="H661" s="1">
        <v>1571.42</v>
      </c>
      <c r="I661" s="1">
        <v>0.05</v>
      </c>
      <c r="J661" s="1">
        <v>9236.5300000000007</v>
      </c>
      <c r="K661" s="1" t="s">
        <v>10</v>
      </c>
    </row>
    <row r="662" spans="1:11" ht="15" customHeight="1" x14ac:dyDescent="0.25">
      <c r="A662" s="1">
        <v>10661</v>
      </c>
      <c r="B662" s="2">
        <v>45830</v>
      </c>
      <c r="C662" s="1" t="s">
        <v>21</v>
      </c>
      <c r="D662" s="1" t="s">
        <v>37</v>
      </c>
      <c r="E662" s="1" t="s">
        <v>8</v>
      </c>
      <c r="F662" s="1" t="s">
        <v>11</v>
      </c>
      <c r="G662" s="1">
        <v>3</v>
      </c>
      <c r="H662" s="1">
        <v>57444.33</v>
      </c>
      <c r="I662" s="1">
        <v>0.1</v>
      </c>
      <c r="J662" s="1">
        <v>790.26</v>
      </c>
      <c r="K662" s="1" t="s">
        <v>8</v>
      </c>
    </row>
    <row r="663" spans="1:11" ht="15" customHeight="1" x14ac:dyDescent="0.25">
      <c r="A663" s="1">
        <v>10662</v>
      </c>
      <c r="B663" s="2">
        <v>45847</v>
      </c>
      <c r="C663" s="1" t="s">
        <v>20</v>
      </c>
      <c r="D663" s="1" t="s">
        <v>36</v>
      </c>
      <c r="E663" s="1" t="s">
        <v>10</v>
      </c>
      <c r="F663" s="1" t="s">
        <v>12</v>
      </c>
      <c r="G663" s="1">
        <v>7</v>
      </c>
      <c r="H663" s="1">
        <v>46968.86</v>
      </c>
      <c r="I663" s="1">
        <v>0.2</v>
      </c>
      <c r="J663" s="1">
        <v>6942.85</v>
      </c>
      <c r="K663" s="1" t="s">
        <v>10</v>
      </c>
    </row>
    <row r="664" spans="1:11" ht="15" customHeight="1" x14ac:dyDescent="0.25">
      <c r="A664" s="1">
        <v>10663</v>
      </c>
      <c r="B664" s="2">
        <v>45779</v>
      </c>
      <c r="C664" s="1" t="s">
        <v>18</v>
      </c>
      <c r="D664" s="1" t="s">
        <v>35</v>
      </c>
      <c r="E664" s="1" t="s">
        <v>10</v>
      </c>
      <c r="F664" s="1" t="s">
        <v>12</v>
      </c>
      <c r="G664" s="1">
        <v>6</v>
      </c>
      <c r="H664" s="1">
        <v>57291.55</v>
      </c>
      <c r="I664" s="1">
        <v>0.15</v>
      </c>
      <c r="J664" s="1">
        <v>1474.56</v>
      </c>
      <c r="K664" s="1" t="s">
        <v>10</v>
      </c>
    </row>
    <row r="665" spans="1:11" ht="15" customHeight="1" x14ac:dyDescent="0.25">
      <c r="A665" s="1">
        <v>10664</v>
      </c>
      <c r="B665" s="2">
        <v>45703</v>
      </c>
      <c r="C665" s="1" t="s">
        <v>25</v>
      </c>
      <c r="D665" s="1" t="s">
        <v>39</v>
      </c>
      <c r="E665" s="1" t="s">
        <v>10</v>
      </c>
      <c r="F665" s="1" t="s">
        <v>13</v>
      </c>
      <c r="G665" s="1">
        <v>6</v>
      </c>
      <c r="H665" s="1">
        <v>3400.88</v>
      </c>
      <c r="I665" s="1">
        <v>0</v>
      </c>
      <c r="J665" s="1">
        <v>485.71</v>
      </c>
      <c r="K665" s="1" t="s">
        <v>10</v>
      </c>
    </row>
    <row r="666" spans="1:11" ht="15" customHeight="1" x14ac:dyDescent="0.25">
      <c r="A666" s="1">
        <v>10665</v>
      </c>
      <c r="B666" s="2">
        <v>45721</v>
      </c>
      <c r="C666" s="1" t="s">
        <v>19</v>
      </c>
      <c r="D666" s="1" t="s">
        <v>40</v>
      </c>
      <c r="E666" s="1" t="s">
        <v>10</v>
      </c>
      <c r="F666" s="1" t="s">
        <v>13</v>
      </c>
      <c r="G666" s="1">
        <v>7</v>
      </c>
      <c r="H666" s="1">
        <v>62865.41</v>
      </c>
      <c r="I666" s="1">
        <v>0.15</v>
      </c>
      <c r="J666" s="1">
        <v>680.29</v>
      </c>
      <c r="K666" s="1" t="s">
        <v>10</v>
      </c>
    </row>
    <row r="667" spans="1:11" ht="15" customHeight="1" x14ac:dyDescent="0.25">
      <c r="A667" s="1">
        <v>10666</v>
      </c>
      <c r="B667" s="2">
        <v>45787</v>
      </c>
      <c r="C667" s="1" t="s">
        <v>23</v>
      </c>
      <c r="D667" s="1" t="s">
        <v>35</v>
      </c>
      <c r="E667" s="1" t="s">
        <v>10</v>
      </c>
      <c r="F667" s="1" t="s">
        <v>13</v>
      </c>
      <c r="G667" s="1">
        <v>3</v>
      </c>
      <c r="H667" s="1">
        <v>46654.7</v>
      </c>
      <c r="I667" s="1">
        <v>0.1</v>
      </c>
      <c r="J667" s="1">
        <v>10018.26</v>
      </c>
      <c r="K667" s="1" t="s">
        <v>10</v>
      </c>
    </row>
    <row r="668" spans="1:11" ht="15" customHeight="1" x14ac:dyDescent="0.25">
      <c r="A668" s="1">
        <v>10667</v>
      </c>
      <c r="B668" s="2">
        <v>45967</v>
      </c>
      <c r="C668" s="1" t="s">
        <v>25</v>
      </c>
      <c r="D668" s="1" t="s">
        <v>39</v>
      </c>
      <c r="E668" s="1" t="s">
        <v>10</v>
      </c>
      <c r="F668" s="1" t="s">
        <v>12</v>
      </c>
      <c r="G668" s="1">
        <v>6</v>
      </c>
      <c r="H668" s="1">
        <v>42472.95</v>
      </c>
      <c r="I668" s="1">
        <v>0.1</v>
      </c>
      <c r="J668" s="1">
        <v>1459.77</v>
      </c>
      <c r="K668" s="1" t="s">
        <v>10</v>
      </c>
    </row>
    <row r="669" spans="1:11" ht="15" customHeight="1" x14ac:dyDescent="0.25">
      <c r="A669" s="1">
        <v>10668</v>
      </c>
      <c r="B669" s="2">
        <v>46020</v>
      </c>
      <c r="C669" s="1" t="s">
        <v>19</v>
      </c>
      <c r="D669" s="1" t="s">
        <v>34</v>
      </c>
      <c r="E669" s="1" t="s">
        <v>10</v>
      </c>
      <c r="F669" s="1" t="s">
        <v>11</v>
      </c>
      <c r="G669" s="1">
        <v>5</v>
      </c>
      <c r="H669" s="1">
        <v>47033.75</v>
      </c>
      <c r="I669" s="1">
        <v>0.15</v>
      </c>
      <c r="J669" s="1">
        <v>589.55999999999995</v>
      </c>
      <c r="K669" s="1" t="s">
        <v>10</v>
      </c>
    </row>
    <row r="670" spans="1:11" ht="15" customHeight="1" x14ac:dyDescent="0.25">
      <c r="A670" s="1">
        <v>10669</v>
      </c>
      <c r="B670" s="2">
        <v>45850</v>
      </c>
      <c r="C670" s="1" t="s">
        <v>18</v>
      </c>
      <c r="D670" s="1" t="s">
        <v>35</v>
      </c>
      <c r="E670" s="1" t="s">
        <v>10</v>
      </c>
      <c r="F670" s="1" t="s">
        <v>11</v>
      </c>
      <c r="G670" s="1">
        <v>7</v>
      </c>
      <c r="H670" s="1">
        <v>64900.28</v>
      </c>
      <c r="I670" s="1">
        <v>0.25</v>
      </c>
      <c r="J670" s="1">
        <v>5282.9</v>
      </c>
      <c r="K670" s="1" t="s">
        <v>10</v>
      </c>
    </row>
    <row r="671" spans="1:11" ht="15" customHeight="1" x14ac:dyDescent="0.25">
      <c r="A671" s="1">
        <v>10670</v>
      </c>
      <c r="B671" s="2">
        <v>45964</v>
      </c>
      <c r="C671" s="1" t="s">
        <v>21</v>
      </c>
      <c r="D671" s="1" t="s">
        <v>33</v>
      </c>
      <c r="E671" s="1" t="s">
        <v>8</v>
      </c>
      <c r="F671" s="1" t="s">
        <v>12</v>
      </c>
      <c r="G671" s="1">
        <v>5</v>
      </c>
      <c r="H671" s="1">
        <v>44226.77</v>
      </c>
      <c r="I671" s="1">
        <v>0.1</v>
      </c>
      <c r="J671" s="1">
        <v>10135.719999999999</v>
      </c>
      <c r="K671" s="1" t="s">
        <v>8</v>
      </c>
    </row>
    <row r="672" spans="1:11" ht="15" customHeight="1" x14ac:dyDescent="0.25">
      <c r="A672" s="1">
        <v>10671</v>
      </c>
      <c r="B672" s="2">
        <v>45838</v>
      </c>
      <c r="C672" s="1" t="s">
        <v>25</v>
      </c>
      <c r="D672" s="1" t="s">
        <v>40</v>
      </c>
      <c r="E672" s="1" t="s">
        <v>10</v>
      </c>
      <c r="F672" s="1" t="s">
        <v>11</v>
      </c>
      <c r="G672" s="1">
        <v>7</v>
      </c>
      <c r="H672" s="1">
        <v>43780.800000000003</v>
      </c>
      <c r="I672" s="1">
        <v>0.05</v>
      </c>
      <c r="J672" s="1">
        <v>3185.78</v>
      </c>
      <c r="K672" s="1" t="s">
        <v>10</v>
      </c>
    </row>
    <row r="673" spans="1:11" ht="15" customHeight="1" x14ac:dyDescent="0.25">
      <c r="A673" s="1">
        <v>10672</v>
      </c>
      <c r="B673" s="2">
        <v>45949</v>
      </c>
      <c r="C673" s="1" t="s">
        <v>22</v>
      </c>
      <c r="D673" s="1" t="s">
        <v>39</v>
      </c>
      <c r="E673" s="1" t="s">
        <v>10</v>
      </c>
      <c r="F673" s="1" t="s">
        <v>12</v>
      </c>
      <c r="G673" s="1">
        <v>1</v>
      </c>
      <c r="H673" s="1">
        <v>74305.600000000006</v>
      </c>
      <c r="I673" s="1">
        <v>0.05</v>
      </c>
      <c r="J673" s="1">
        <v>5089.47</v>
      </c>
      <c r="K673" s="1" t="s">
        <v>10</v>
      </c>
    </row>
    <row r="674" spans="1:11" ht="15" customHeight="1" x14ac:dyDescent="0.25">
      <c r="A674" s="1">
        <v>10673</v>
      </c>
      <c r="B674" s="2">
        <v>45939</v>
      </c>
      <c r="C674" s="1" t="s">
        <v>19</v>
      </c>
      <c r="D674" s="1" t="s">
        <v>39</v>
      </c>
      <c r="E674" s="1" t="s">
        <v>10</v>
      </c>
      <c r="F674" s="1" t="s">
        <v>11</v>
      </c>
      <c r="G674" s="1">
        <v>1</v>
      </c>
      <c r="H674" s="1">
        <v>56876.4</v>
      </c>
      <c r="I674" s="1">
        <v>0.1</v>
      </c>
      <c r="J674" s="1">
        <v>527.07000000000005</v>
      </c>
      <c r="K674" s="1" t="s">
        <v>10</v>
      </c>
    </row>
    <row r="675" spans="1:11" ht="15" customHeight="1" x14ac:dyDescent="0.25">
      <c r="A675" s="1">
        <v>10674</v>
      </c>
      <c r="B675" s="2">
        <v>45686</v>
      </c>
      <c r="C675" s="1" t="s">
        <v>21</v>
      </c>
      <c r="D675" s="1" t="s">
        <v>39</v>
      </c>
      <c r="E675" s="1" t="s">
        <v>10</v>
      </c>
      <c r="F675" s="1" t="s">
        <v>9</v>
      </c>
      <c r="G675" s="1">
        <v>1</v>
      </c>
      <c r="H675" s="1">
        <v>33450.89</v>
      </c>
      <c r="I675" s="1">
        <v>0.1</v>
      </c>
      <c r="J675" s="1">
        <v>5416.49</v>
      </c>
      <c r="K675" s="1" t="s">
        <v>10</v>
      </c>
    </row>
    <row r="676" spans="1:11" ht="15" customHeight="1" x14ac:dyDescent="0.25">
      <c r="A676" s="1">
        <v>10675</v>
      </c>
      <c r="B676" s="2">
        <v>45806</v>
      </c>
      <c r="C676" s="1" t="s">
        <v>23</v>
      </c>
      <c r="D676" s="1" t="s">
        <v>34</v>
      </c>
      <c r="E676" s="1" t="s">
        <v>10</v>
      </c>
      <c r="F676" s="1" t="s">
        <v>9</v>
      </c>
      <c r="G676" s="1">
        <v>6</v>
      </c>
      <c r="H676" s="1">
        <v>53201.08</v>
      </c>
      <c r="I676" s="1">
        <v>0.25</v>
      </c>
      <c r="J676" s="1">
        <v>6952.48</v>
      </c>
      <c r="K676" s="1" t="s">
        <v>10</v>
      </c>
    </row>
    <row r="677" spans="1:11" ht="15" customHeight="1" x14ac:dyDescent="0.25">
      <c r="A677" s="1">
        <v>10676</v>
      </c>
      <c r="B677" s="2">
        <v>45924</v>
      </c>
      <c r="C677" s="1" t="s">
        <v>23</v>
      </c>
      <c r="D677" s="1" t="s">
        <v>35</v>
      </c>
      <c r="E677" s="1" t="s">
        <v>10</v>
      </c>
      <c r="F677" s="1" t="s">
        <v>12</v>
      </c>
      <c r="G677" s="1">
        <v>5</v>
      </c>
      <c r="H677" s="1">
        <v>29497.67</v>
      </c>
      <c r="I677" s="1">
        <v>0.05</v>
      </c>
      <c r="J677" s="1">
        <v>6872.34</v>
      </c>
      <c r="K677" s="1" t="s">
        <v>10</v>
      </c>
    </row>
    <row r="678" spans="1:11" ht="15" customHeight="1" x14ac:dyDescent="0.25">
      <c r="A678" s="1">
        <v>10677</v>
      </c>
      <c r="B678" s="2">
        <v>45953</v>
      </c>
      <c r="C678" s="1" t="s">
        <v>20</v>
      </c>
      <c r="D678" s="1" t="s">
        <v>34</v>
      </c>
      <c r="E678" s="1" t="s">
        <v>10</v>
      </c>
      <c r="F678" s="1" t="s">
        <v>11</v>
      </c>
      <c r="G678" s="1">
        <v>5</v>
      </c>
      <c r="H678" s="1">
        <v>17551.22</v>
      </c>
      <c r="I678" s="1">
        <v>0.1</v>
      </c>
      <c r="J678" s="1">
        <v>4022.5</v>
      </c>
      <c r="K678" s="1" t="s">
        <v>10</v>
      </c>
    </row>
    <row r="679" spans="1:11" ht="15" customHeight="1" x14ac:dyDescent="0.25">
      <c r="A679" s="1">
        <v>10678</v>
      </c>
      <c r="B679" s="2">
        <v>45668</v>
      </c>
      <c r="C679" s="1" t="s">
        <v>19</v>
      </c>
      <c r="D679" s="1" t="s">
        <v>37</v>
      </c>
      <c r="E679" s="1" t="s">
        <v>8</v>
      </c>
      <c r="F679" s="1" t="s">
        <v>13</v>
      </c>
      <c r="G679" s="1">
        <v>5</v>
      </c>
      <c r="H679" s="1">
        <v>44965.46</v>
      </c>
      <c r="I679" s="1">
        <v>0.1</v>
      </c>
      <c r="K679" s="1" t="s">
        <v>8</v>
      </c>
    </row>
    <row r="680" spans="1:11" ht="15" customHeight="1" x14ac:dyDescent="0.25">
      <c r="A680" s="1">
        <v>10679</v>
      </c>
      <c r="B680" s="2">
        <v>45821</v>
      </c>
      <c r="C680" s="1" t="s">
        <v>18</v>
      </c>
      <c r="D680" s="1" t="s">
        <v>38</v>
      </c>
      <c r="E680" s="1" t="s">
        <v>10</v>
      </c>
      <c r="F680" s="1" t="s">
        <v>11</v>
      </c>
      <c r="G680" s="1">
        <v>3</v>
      </c>
      <c r="H680" s="1">
        <v>69649.570000000007</v>
      </c>
      <c r="I680" s="1">
        <v>0.25</v>
      </c>
      <c r="J680" s="1">
        <v>1324.15</v>
      </c>
      <c r="K680" s="1" t="s">
        <v>10</v>
      </c>
    </row>
    <row r="681" spans="1:11" ht="15" customHeight="1" x14ac:dyDescent="0.25">
      <c r="A681" s="1">
        <v>10680</v>
      </c>
      <c r="B681" s="2">
        <v>45770</v>
      </c>
      <c r="C681" s="1" t="s">
        <v>20</v>
      </c>
      <c r="D681" s="1" t="s">
        <v>38</v>
      </c>
      <c r="E681" s="1" t="s">
        <v>10</v>
      </c>
      <c r="F681" s="1" t="s">
        <v>9</v>
      </c>
      <c r="G681" s="1">
        <v>5</v>
      </c>
      <c r="H681" s="1">
        <v>69720.89</v>
      </c>
      <c r="I681" s="1">
        <v>0.25</v>
      </c>
      <c r="J681" s="1">
        <v>4433.24</v>
      </c>
      <c r="K681" s="1" t="s">
        <v>10</v>
      </c>
    </row>
    <row r="682" spans="1:11" ht="15" customHeight="1" x14ac:dyDescent="0.25">
      <c r="A682" s="1">
        <v>10681</v>
      </c>
      <c r="B682" s="2">
        <v>45844</v>
      </c>
      <c r="C682" s="1" t="s">
        <v>20</v>
      </c>
      <c r="D682" s="1" t="s">
        <v>37</v>
      </c>
      <c r="E682" s="1" t="s">
        <v>8</v>
      </c>
      <c r="F682" s="1" t="s">
        <v>9</v>
      </c>
      <c r="G682" s="1">
        <v>3</v>
      </c>
      <c r="H682" s="1">
        <v>25971.94</v>
      </c>
      <c r="I682" s="1">
        <v>0.15</v>
      </c>
      <c r="J682" s="1">
        <v>1238.96</v>
      </c>
      <c r="K682" s="1" t="s">
        <v>8</v>
      </c>
    </row>
    <row r="683" spans="1:11" ht="15" customHeight="1" x14ac:dyDescent="0.25">
      <c r="A683" s="1">
        <v>10682</v>
      </c>
      <c r="B683" s="2">
        <v>45952</v>
      </c>
      <c r="C683" s="1" t="s">
        <v>17</v>
      </c>
      <c r="D683" s="1" t="s">
        <v>35</v>
      </c>
      <c r="E683" s="1" t="s">
        <v>10</v>
      </c>
      <c r="F683" s="1" t="s">
        <v>11</v>
      </c>
      <c r="G683" s="1">
        <v>1</v>
      </c>
      <c r="H683" s="1">
        <v>39811.97</v>
      </c>
      <c r="I683" s="1">
        <v>0.25</v>
      </c>
      <c r="J683" s="1">
        <v>9210.82</v>
      </c>
      <c r="K683" s="1" t="s">
        <v>10</v>
      </c>
    </row>
    <row r="684" spans="1:11" ht="15" customHeight="1" x14ac:dyDescent="0.25">
      <c r="A684" s="1">
        <v>10683</v>
      </c>
      <c r="B684" s="2">
        <v>45889</v>
      </c>
      <c r="C684" s="1" t="s">
        <v>25</v>
      </c>
      <c r="D684" s="1" t="s">
        <v>33</v>
      </c>
      <c r="E684" s="1" t="s">
        <v>8</v>
      </c>
      <c r="F684" s="1" t="s">
        <v>11</v>
      </c>
      <c r="G684" s="1">
        <v>1</v>
      </c>
      <c r="H684" s="1">
        <v>16266.87</v>
      </c>
      <c r="I684" s="1">
        <v>0</v>
      </c>
      <c r="J684" s="1">
        <v>11596.98</v>
      </c>
      <c r="K684" s="1" t="s">
        <v>8</v>
      </c>
    </row>
    <row r="685" spans="1:11" ht="15" customHeight="1" x14ac:dyDescent="0.25">
      <c r="A685" s="1">
        <v>10684</v>
      </c>
      <c r="B685" s="2">
        <v>45884</v>
      </c>
      <c r="C685" s="1" t="s">
        <v>19</v>
      </c>
      <c r="D685" s="1" t="s">
        <v>34</v>
      </c>
      <c r="E685" s="1" t="s">
        <v>10</v>
      </c>
      <c r="F685" s="1" t="s">
        <v>13</v>
      </c>
      <c r="G685" s="1">
        <v>6</v>
      </c>
      <c r="H685" s="1">
        <v>74674.52</v>
      </c>
      <c r="I685" s="1">
        <v>0.05</v>
      </c>
      <c r="J685" s="1">
        <v>11642.39</v>
      </c>
      <c r="K685" s="1" t="s">
        <v>10</v>
      </c>
    </row>
    <row r="686" spans="1:11" ht="15" customHeight="1" x14ac:dyDescent="0.25">
      <c r="A686" s="1">
        <v>10685</v>
      </c>
      <c r="B686" s="2">
        <v>45967</v>
      </c>
      <c r="C686" s="1" t="s">
        <v>20</v>
      </c>
      <c r="D686" s="1" t="s">
        <v>40</v>
      </c>
      <c r="E686" s="1" t="s">
        <v>10</v>
      </c>
      <c r="F686" s="1" t="s">
        <v>13</v>
      </c>
      <c r="G686" s="1">
        <v>7</v>
      </c>
      <c r="H686" s="1">
        <v>73593.279999999999</v>
      </c>
      <c r="I686" s="1">
        <v>0.15</v>
      </c>
      <c r="J686" s="1">
        <v>10387.6</v>
      </c>
      <c r="K686" s="1" t="s">
        <v>10</v>
      </c>
    </row>
    <row r="687" spans="1:11" ht="15" customHeight="1" x14ac:dyDescent="0.25">
      <c r="A687" s="1">
        <v>10686</v>
      </c>
      <c r="B687" s="2">
        <v>45755</v>
      </c>
      <c r="C687" s="1" t="s">
        <v>17</v>
      </c>
      <c r="D687" s="1" t="s">
        <v>39</v>
      </c>
      <c r="E687" s="1" t="s">
        <v>10</v>
      </c>
      <c r="F687" s="1" t="s">
        <v>11</v>
      </c>
      <c r="G687" s="1">
        <v>1</v>
      </c>
      <c r="H687" s="1">
        <v>48888.42</v>
      </c>
      <c r="I687" s="1">
        <v>0</v>
      </c>
      <c r="J687" s="1">
        <v>7229.47</v>
      </c>
      <c r="K687" s="1" t="s">
        <v>10</v>
      </c>
    </row>
    <row r="688" spans="1:11" ht="15" customHeight="1" x14ac:dyDescent="0.25">
      <c r="A688" s="1">
        <v>10687</v>
      </c>
      <c r="B688" s="2">
        <v>45712</v>
      </c>
      <c r="C688" s="1" t="s">
        <v>18</v>
      </c>
      <c r="D688" s="1" t="s">
        <v>39</v>
      </c>
      <c r="E688" s="1" t="s">
        <v>10</v>
      </c>
      <c r="F688" s="1" t="s">
        <v>11</v>
      </c>
      <c r="G688" s="1">
        <v>7</v>
      </c>
      <c r="H688" s="1">
        <v>60428.85</v>
      </c>
      <c r="I688" s="1">
        <v>0.1</v>
      </c>
      <c r="J688" s="1">
        <v>8425.35</v>
      </c>
      <c r="K688" s="1" t="s">
        <v>10</v>
      </c>
    </row>
    <row r="689" spans="1:11" ht="15" customHeight="1" x14ac:dyDescent="0.25">
      <c r="A689" s="1">
        <v>10688</v>
      </c>
      <c r="B689" s="2">
        <v>45768</v>
      </c>
      <c r="C689" s="1" t="s">
        <v>21</v>
      </c>
      <c r="D689" s="1" t="s">
        <v>35</v>
      </c>
      <c r="E689" s="1" t="s">
        <v>10</v>
      </c>
      <c r="F689" s="1" t="s">
        <v>11</v>
      </c>
      <c r="G689" s="1">
        <v>7</v>
      </c>
      <c r="H689" s="1">
        <v>53774.96</v>
      </c>
      <c r="I689" s="1">
        <v>0.1</v>
      </c>
      <c r="J689" s="1">
        <v>3458.21</v>
      </c>
      <c r="K689" s="1" t="s">
        <v>10</v>
      </c>
    </row>
    <row r="690" spans="1:11" ht="15" customHeight="1" x14ac:dyDescent="0.25">
      <c r="A690" s="1">
        <v>10689</v>
      </c>
      <c r="B690" s="2">
        <v>45809</v>
      </c>
      <c r="C690" s="1" t="s">
        <v>22</v>
      </c>
      <c r="D690" s="1" t="s">
        <v>33</v>
      </c>
      <c r="E690" s="1" t="s">
        <v>8</v>
      </c>
      <c r="F690" s="1" t="s">
        <v>11</v>
      </c>
      <c r="G690" s="1">
        <v>6</v>
      </c>
      <c r="H690" s="1">
        <v>44690.29</v>
      </c>
      <c r="I690" s="1">
        <v>0.15</v>
      </c>
      <c r="J690" s="1">
        <v>7587.71</v>
      </c>
      <c r="K690" s="1" t="s">
        <v>8</v>
      </c>
    </row>
    <row r="691" spans="1:11" ht="15" customHeight="1" x14ac:dyDescent="0.25">
      <c r="A691" s="1">
        <v>10690</v>
      </c>
      <c r="B691" s="2">
        <v>45903</v>
      </c>
      <c r="C691" s="1" t="s">
        <v>22</v>
      </c>
      <c r="D691" s="1" t="s">
        <v>38</v>
      </c>
      <c r="E691" s="1" t="s">
        <v>10</v>
      </c>
      <c r="F691" s="1" t="s">
        <v>12</v>
      </c>
      <c r="G691" s="1">
        <v>2</v>
      </c>
      <c r="H691" s="1">
        <v>4474.43</v>
      </c>
      <c r="I691" s="1">
        <v>0.25</v>
      </c>
      <c r="J691" s="1">
        <v>5495.01</v>
      </c>
      <c r="K691" s="1" t="s">
        <v>10</v>
      </c>
    </row>
    <row r="692" spans="1:11" ht="15" customHeight="1" x14ac:dyDescent="0.25">
      <c r="A692" s="1">
        <v>10691</v>
      </c>
      <c r="B692" s="2">
        <v>45726</v>
      </c>
      <c r="C692" s="1" t="s">
        <v>19</v>
      </c>
      <c r="D692" s="1" t="s">
        <v>38</v>
      </c>
      <c r="E692" s="1" t="s">
        <v>10</v>
      </c>
      <c r="F692" s="1" t="s">
        <v>11</v>
      </c>
      <c r="G692" s="1">
        <v>2</v>
      </c>
      <c r="H692" s="1">
        <v>34379.94</v>
      </c>
      <c r="I692" s="1">
        <v>0.1</v>
      </c>
      <c r="J692" s="1">
        <v>5810.11</v>
      </c>
      <c r="K692" s="1" t="s">
        <v>10</v>
      </c>
    </row>
    <row r="693" spans="1:11" ht="15" customHeight="1" x14ac:dyDescent="0.25">
      <c r="A693" s="1">
        <v>10692</v>
      </c>
      <c r="B693" s="2">
        <v>45969</v>
      </c>
      <c r="C693" s="1" t="s">
        <v>20</v>
      </c>
      <c r="D693" s="1" t="s">
        <v>39</v>
      </c>
      <c r="E693" s="1" t="s">
        <v>10</v>
      </c>
      <c r="F693" s="1" t="s">
        <v>13</v>
      </c>
      <c r="G693" s="1">
        <v>4</v>
      </c>
      <c r="H693" s="1">
        <v>50771.58</v>
      </c>
      <c r="I693" s="1">
        <v>0.2</v>
      </c>
      <c r="J693" s="1">
        <v>9105.43</v>
      </c>
      <c r="K693" s="1" t="s">
        <v>10</v>
      </c>
    </row>
    <row r="694" spans="1:11" ht="15" customHeight="1" x14ac:dyDescent="0.25">
      <c r="A694" s="1">
        <v>10693</v>
      </c>
      <c r="B694" s="2">
        <v>45946</v>
      </c>
      <c r="C694" s="1" t="s">
        <v>22</v>
      </c>
      <c r="D694" s="1" t="s">
        <v>35</v>
      </c>
      <c r="E694" s="1" t="s">
        <v>10</v>
      </c>
      <c r="F694" s="1" t="s">
        <v>9</v>
      </c>
      <c r="G694" s="1">
        <v>6</v>
      </c>
      <c r="H694" s="1">
        <v>50976.11</v>
      </c>
      <c r="I694" s="1">
        <v>0.15</v>
      </c>
      <c r="J694" s="1">
        <v>3418.92</v>
      </c>
      <c r="K694" s="1" t="s">
        <v>10</v>
      </c>
    </row>
    <row r="695" spans="1:11" ht="15" customHeight="1" x14ac:dyDescent="0.25">
      <c r="A695" s="1">
        <v>10694</v>
      </c>
      <c r="B695" s="2">
        <v>45907</v>
      </c>
      <c r="C695" s="1" t="s">
        <v>25</v>
      </c>
      <c r="D695" s="1" t="s">
        <v>34</v>
      </c>
      <c r="E695" s="1" t="s">
        <v>10</v>
      </c>
      <c r="F695" s="1" t="s">
        <v>12</v>
      </c>
      <c r="G695" s="1">
        <v>4</v>
      </c>
      <c r="H695" s="1">
        <v>28297.64</v>
      </c>
      <c r="I695" s="1">
        <v>0</v>
      </c>
      <c r="J695" s="1">
        <v>3850.57</v>
      </c>
      <c r="K695" s="1" t="s">
        <v>10</v>
      </c>
    </row>
    <row r="696" spans="1:11" ht="15" customHeight="1" x14ac:dyDescent="0.25">
      <c r="A696" s="1">
        <v>10695</v>
      </c>
      <c r="B696" s="2">
        <v>45693</v>
      </c>
      <c r="C696" s="1" t="s">
        <v>22</v>
      </c>
      <c r="D696" s="1" t="s">
        <v>38</v>
      </c>
      <c r="E696" s="1" t="s">
        <v>10</v>
      </c>
      <c r="F696" s="1" t="s">
        <v>11</v>
      </c>
      <c r="G696" s="1">
        <v>4</v>
      </c>
      <c r="H696" s="1">
        <v>70656.05</v>
      </c>
      <c r="I696" s="1">
        <v>0.15</v>
      </c>
      <c r="J696" s="1">
        <v>11099.47</v>
      </c>
      <c r="K696" s="1" t="s">
        <v>10</v>
      </c>
    </row>
    <row r="697" spans="1:11" ht="15" customHeight="1" x14ac:dyDescent="0.25">
      <c r="A697" s="1">
        <v>10696</v>
      </c>
      <c r="B697" s="2">
        <v>45896</v>
      </c>
      <c r="C697" s="1" t="s">
        <v>22</v>
      </c>
      <c r="D697" s="1" t="s">
        <v>34</v>
      </c>
      <c r="E697" s="1" t="s">
        <v>10</v>
      </c>
      <c r="F697" s="1" t="s">
        <v>9</v>
      </c>
      <c r="G697" s="1">
        <v>2</v>
      </c>
      <c r="H697" s="1">
        <v>12968.1</v>
      </c>
      <c r="I697" s="1">
        <v>0.05</v>
      </c>
      <c r="J697" s="1">
        <v>721.88</v>
      </c>
      <c r="K697" s="1" t="s">
        <v>10</v>
      </c>
    </row>
    <row r="698" spans="1:11" ht="15" customHeight="1" x14ac:dyDescent="0.25">
      <c r="A698" s="1">
        <v>10697</v>
      </c>
      <c r="B698" s="2">
        <v>45805</v>
      </c>
      <c r="C698" s="1" t="s">
        <v>22</v>
      </c>
      <c r="D698" s="1" t="s">
        <v>33</v>
      </c>
      <c r="E698" s="1" t="s">
        <v>8</v>
      </c>
      <c r="F698" s="1" t="s">
        <v>12</v>
      </c>
      <c r="G698" s="1">
        <v>6</v>
      </c>
      <c r="H698" s="1">
        <v>37776.78</v>
      </c>
      <c r="I698" s="1">
        <v>0.25</v>
      </c>
      <c r="J698" s="1">
        <v>5853.33</v>
      </c>
      <c r="K698" s="1" t="s">
        <v>8</v>
      </c>
    </row>
    <row r="699" spans="1:11" ht="15" customHeight="1" x14ac:dyDescent="0.25">
      <c r="A699" s="1">
        <v>10698</v>
      </c>
      <c r="B699" s="2">
        <v>45884</v>
      </c>
      <c r="C699" s="1" t="s">
        <v>23</v>
      </c>
      <c r="D699" s="1" t="s">
        <v>38</v>
      </c>
      <c r="E699" s="1" t="s">
        <v>10</v>
      </c>
      <c r="F699" s="1" t="s">
        <v>9</v>
      </c>
      <c r="G699" s="1">
        <v>2</v>
      </c>
      <c r="H699" s="1">
        <v>51970.86</v>
      </c>
      <c r="I699" s="1">
        <v>0.25</v>
      </c>
      <c r="J699" s="1">
        <v>10957.97</v>
      </c>
      <c r="K699" s="1" t="s">
        <v>10</v>
      </c>
    </row>
    <row r="700" spans="1:11" ht="15" customHeight="1" x14ac:dyDescent="0.25">
      <c r="A700" s="1">
        <v>10699</v>
      </c>
      <c r="B700" s="2">
        <v>45901</v>
      </c>
      <c r="C700" s="1" t="s">
        <v>17</v>
      </c>
      <c r="D700" s="1" t="s">
        <v>38</v>
      </c>
      <c r="E700" s="1" t="s">
        <v>10</v>
      </c>
      <c r="F700" s="1" t="s">
        <v>11</v>
      </c>
      <c r="G700" s="1">
        <v>4</v>
      </c>
      <c r="H700" s="1">
        <v>52436.62</v>
      </c>
      <c r="I700" s="1">
        <v>0.15</v>
      </c>
      <c r="J700" s="1">
        <v>7343.84</v>
      </c>
      <c r="K700" s="1" t="s">
        <v>10</v>
      </c>
    </row>
    <row r="701" spans="1:11" ht="15" customHeight="1" x14ac:dyDescent="0.25">
      <c r="A701" s="1">
        <v>10700</v>
      </c>
      <c r="B701" s="2">
        <v>45994</v>
      </c>
      <c r="C701" s="1" t="s">
        <v>20</v>
      </c>
      <c r="D701" s="1" t="s">
        <v>36</v>
      </c>
      <c r="E701" s="1" t="s">
        <v>10</v>
      </c>
      <c r="F701" s="1" t="s">
        <v>11</v>
      </c>
      <c r="G701" s="1">
        <v>6</v>
      </c>
      <c r="H701" s="1">
        <v>48823.6</v>
      </c>
      <c r="I701" s="1">
        <v>0.1</v>
      </c>
      <c r="J701" s="1">
        <v>6579.56</v>
      </c>
      <c r="K701" s="1" t="s">
        <v>10</v>
      </c>
    </row>
    <row r="702" spans="1:11" ht="15" customHeight="1" x14ac:dyDescent="0.25">
      <c r="A702" s="1">
        <v>10701</v>
      </c>
      <c r="B702" s="2">
        <v>46022</v>
      </c>
      <c r="C702" s="1" t="s">
        <v>25</v>
      </c>
      <c r="D702" s="1" t="s">
        <v>38</v>
      </c>
      <c r="E702" s="1" t="s">
        <v>10</v>
      </c>
      <c r="F702" s="1" t="s">
        <v>13</v>
      </c>
      <c r="G702" s="1">
        <v>4</v>
      </c>
      <c r="H702" s="1">
        <v>21008.97</v>
      </c>
      <c r="I702" s="1">
        <v>0.1</v>
      </c>
      <c r="J702" s="1">
        <v>3034.44</v>
      </c>
      <c r="K702" s="1" t="s">
        <v>10</v>
      </c>
    </row>
    <row r="703" spans="1:11" ht="15" customHeight="1" x14ac:dyDescent="0.25">
      <c r="A703" s="1">
        <v>10702</v>
      </c>
      <c r="B703" s="2">
        <v>45858</v>
      </c>
      <c r="C703" s="1" t="s">
        <v>20</v>
      </c>
      <c r="D703" s="1" t="s">
        <v>37</v>
      </c>
      <c r="E703" s="1" t="s">
        <v>8</v>
      </c>
      <c r="F703" s="1" t="s">
        <v>11</v>
      </c>
      <c r="G703" s="1">
        <v>5</v>
      </c>
      <c r="H703" s="1">
        <v>12137.39</v>
      </c>
      <c r="I703" s="1">
        <v>0.2</v>
      </c>
      <c r="J703" s="1">
        <v>4152.1400000000003</v>
      </c>
      <c r="K703" s="1" t="s">
        <v>8</v>
      </c>
    </row>
    <row r="704" spans="1:11" ht="15" customHeight="1" x14ac:dyDescent="0.25">
      <c r="A704" s="1">
        <v>10703</v>
      </c>
      <c r="B704" s="2">
        <v>45811</v>
      </c>
      <c r="C704" s="1" t="s">
        <v>23</v>
      </c>
      <c r="D704" s="1" t="s">
        <v>40</v>
      </c>
      <c r="E704" s="1" t="s">
        <v>10</v>
      </c>
      <c r="F704" s="1" t="s">
        <v>11</v>
      </c>
      <c r="G704" s="1">
        <v>7</v>
      </c>
      <c r="H704" s="1">
        <v>47877.55</v>
      </c>
      <c r="I704" s="1">
        <v>0.2</v>
      </c>
      <c r="J704" s="1">
        <v>10231.98</v>
      </c>
      <c r="K704" s="1" t="s">
        <v>10</v>
      </c>
    </row>
    <row r="705" spans="1:11" ht="15" customHeight="1" x14ac:dyDescent="0.25">
      <c r="A705" s="1">
        <v>10704</v>
      </c>
      <c r="B705" s="2">
        <v>45730</v>
      </c>
      <c r="C705" s="1" t="s">
        <v>19</v>
      </c>
      <c r="D705" s="1" t="s">
        <v>37</v>
      </c>
      <c r="E705" s="1" t="s">
        <v>8</v>
      </c>
      <c r="F705" s="1" t="s">
        <v>12</v>
      </c>
      <c r="G705" s="1">
        <v>6</v>
      </c>
      <c r="H705" s="1">
        <v>45148.01</v>
      </c>
      <c r="I705" s="1">
        <v>0.25</v>
      </c>
      <c r="J705" s="1">
        <v>6732.66</v>
      </c>
      <c r="K705" s="1" t="s">
        <v>8</v>
      </c>
    </row>
    <row r="706" spans="1:11" ht="15" customHeight="1" x14ac:dyDescent="0.25">
      <c r="A706" s="1">
        <v>10705</v>
      </c>
      <c r="B706" s="2">
        <v>45858</v>
      </c>
      <c r="C706" s="1" t="s">
        <v>19</v>
      </c>
      <c r="D706" s="1" t="s">
        <v>35</v>
      </c>
      <c r="E706" s="1" t="s">
        <v>10</v>
      </c>
      <c r="F706" s="1" t="s">
        <v>13</v>
      </c>
      <c r="G706" s="1">
        <v>6</v>
      </c>
      <c r="H706" s="1">
        <v>13862.02</v>
      </c>
      <c r="I706" s="1">
        <v>0.2</v>
      </c>
      <c r="J706" s="1">
        <v>6201.17</v>
      </c>
      <c r="K706" s="1" t="s">
        <v>10</v>
      </c>
    </row>
    <row r="707" spans="1:11" ht="15" customHeight="1" x14ac:dyDescent="0.25">
      <c r="A707" s="1">
        <v>10706</v>
      </c>
      <c r="B707" s="2">
        <v>45953</v>
      </c>
      <c r="C707" s="1" t="s">
        <v>19</v>
      </c>
      <c r="D707" s="1" t="s">
        <v>35</v>
      </c>
      <c r="E707" s="1" t="s">
        <v>10</v>
      </c>
      <c r="F707" s="1" t="s">
        <v>12</v>
      </c>
      <c r="G707" s="1">
        <v>7</v>
      </c>
      <c r="H707" s="1">
        <v>53032.87</v>
      </c>
      <c r="I707" s="1">
        <v>0</v>
      </c>
      <c r="J707" s="1">
        <v>1239.98</v>
      </c>
      <c r="K707" s="1" t="s">
        <v>10</v>
      </c>
    </row>
    <row r="708" spans="1:11" ht="15" customHeight="1" x14ac:dyDescent="0.25">
      <c r="A708" s="1">
        <v>10707</v>
      </c>
      <c r="B708" s="2">
        <v>45674</v>
      </c>
      <c r="C708" s="1" t="s">
        <v>18</v>
      </c>
      <c r="D708" s="1" t="s">
        <v>34</v>
      </c>
      <c r="E708" s="1" t="s">
        <v>10</v>
      </c>
      <c r="F708" s="1" t="s">
        <v>9</v>
      </c>
      <c r="G708" s="1">
        <v>4</v>
      </c>
      <c r="H708" s="1">
        <v>34410.31</v>
      </c>
      <c r="I708" s="1">
        <v>0.2</v>
      </c>
      <c r="J708" s="1">
        <v>241.54</v>
      </c>
      <c r="K708" s="1" t="s">
        <v>10</v>
      </c>
    </row>
    <row r="709" spans="1:11" ht="15" customHeight="1" x14ac:dyDescent="0.25">
      <c r="A709" s="1">
        <v>10708</v>
      </c>
      <c r="B709" s="2">
        <v>45786</v>
      </c>
      <c r="C709" s="1" t="s">
        <v>22</v>
      </c>
      <c r="D709" s="1" t="s">
        <v>37</v>
      </c>
      <c r="E709" s="1" t="s">
        <v>8</v>
      </c>
      <c r="F709" s="1" t="s">
        <v>11</v>
      </c>
      <c r="G709" s="1">
        <v>5</v>
      </c>
      <c r="H709" s="1">
        <v>50248.160000000003</v>
      </c>
      <c r="I709" s="1">
        <v>0</v>
      </c>
      <c r="J709" s="1">
        <v>11566.04</v>
      </c>
      <c r="K709" s="1" t="s">
        <v>8</v>
      </c>
    </row>
    <row r="710" spans="1:11" ht="15" customHeight="1" x14ac:dyDescent="0.25">
      <c r="A710" s="1">
        <v>10709</v>
      </c>
      <c r="B710" s="2">
        <v>45874</v>
      </c>
      <c r="C710" s="1" t="s">
        <v>18</v>
      </c>
      <c r="D710" s="1" t="s">
        <v>37</v>
      </c>
      <c r="E710" s="1" t="s">
        <v>8</v>
      </c>
      <c r="F710" s="1" t="s">
        <v>9</v>
      </c>
      <c r="G710" s="1">
        <v>3</v>
      </c>
      <c r="H710" s="1">
        <v>62883.85</v>
      </c>
      <c r="I710" s="1">
        <v>0.2</v>
      </c>
      <c r="J710" s="1">
        <v>4554.9799999999996</v>
      </c>
      <c r="K710" s="1" t="s">
        <v>8</v>
      </c>
    </row>
    <row r="711" spans="1:11" ht="15" customHeight="1" x14ac:dyDescent="0.25">
      <c r="A711" s="1">
        <v>10710</v>
      </c>
      <c r="B711" s="2">
        <v>45718</v>
      </c>
      <c r="C711" s="1" t="s">
        <v>17</v>
      </c>
      <c r="D711" s="1" t="s">
        <v>37</v>
      </c>
      <c r="E711" s="1" t="s">
        <v>8</v>
      </c>
      <c r="F711" s="1" t="s">
        <v>12</v>
      </c>
      <c r="G711" s="1">
        <v>7</v>
      </c>
      <c r="H711" s="1">
        <v>13144.77</v>
      </c>
      <c r="I711" s="1">
        <v>0.25</v>
      </c>
      <c r="J711" s="1">
        <v>7258.4</v>
      </c>
      <c r="K711" s="1" t="s">
        <v>8</v>
      </c>
    </row>
    <row r="712" spans="1:11" ht="15" customHeight="1" x14ac:dyDescent="0.25">
      <c r="A712" s="1">
        <v>10711</v>
      </c>
      <c r="B712" s="2">
        <v>45761</v>
      </c>
      <c r="C712" s="1" t="s">
        <v>19</v>
      </c>
      <c r="D712" s="1" t="s">
        <v>33</v>
      </c>
      <c r="E712" s="1" t="s">
        <v>8</v>
      </c>
      <c r="F712" s="1" t="s">
        <v>11</v>
      </c>
      <c r="G712" s="1">
        <v>2</v>
      </c>
      <c r="H712" s="1">
        <v>1926.29</v>
      </c>
      <c r="I712" s="1">
        <v>0.25</v>
      </c>
      <c r="J712" s="1">
        <v>1002.6</v>
      </c>
      <c r="K712" s="1" t="s">
        <v>8</v>
      </c>
    </row>
    <row r="713" spans="1:11" ht="15" customHeight="1" x14ac:dyDescent="0.25">
      <c r="A713" s="1">
        <v>10712</v>
      </c>
      <c r="B713" s="2">
        <v>45699</v>
      </c>
      <c r="C713" s="1" t="s">
        <v>23</v>
      </c>
      <c r="D713" s="1" t="s">
        <v>38</v>
      </c>
      <c r="E713" s="1" t="s">
        <v>10</v>
      </c>
      <c r="F713" s="1" t="s">
        <v>11</v>
      </c>
      <c r="G713" s="1">
        <v>4</v>
      </c>
      <c r="H713" s="1">
        <v>58543.14</v>
      </c>
      <c r="I713" s="1">
        <v>0</v>
      </c>
      <c r="J713" s="1">
        <v>8213.2199999999993</v>
      </c>
      <c r="K713" s="1" t="s">
        <v>10</v>
      </c>
    </row>
    <row r="714" spans="1:11" ht="15" customHeight="1" x14ac:dyDescent="0.25">
      <c r="A714" s="1">
        <v>10713</v>
      </c>
      <c r="B714" s="2">
        <v>45682</v>
      </c>
      <c r="C714" s="1" t="s">
        <v>25</v>
      </c>
      <c r="D714" s="1" t="s">
        <v>40</v>
      </c>
      <c r="E714" s="1" t="s">
        <v>10</v>
      </c>
      <c r="F714" s="1" t="s">
        <v>12</v>
      </c>
      <c r="G714" s="1">
        <v>7</v>
      </c>
      <c r="H714" s="1">
        <v>45922.46</v>
      </c>
      <c r="I714" s="1">
        <v>0.15</v>
      </c>
      <c r="J714" s="1">
        <v>11194.17</v>
      </c>
      <c r="K714" s="1" t="s">
        <v>10</v>
      </c>
    </row>
    <row r="715" spans="1:11" ht="15" customHeight="1" x14ac:dyDescent="0.25">
      <c r="A715" s="1">
        <v>10714</v>
      </c>
      <c r="B715" s="2">
        <v>45696</v>
      </c>
      <c r="C715" s="1" t="s">
        <v>20</v>
      </c>
      <c r="D715" s="1" t="s">
        <v>34</v>
      </c>
      <c r="E715" s="1" t="s">
        <v>10</v>
      </c>
      <c r="F715" s="1" t="s">
        <v>12</v>
      </c>
      <c r="G715" s="1">
        <v>7</v>
      </c>
      <c r="H715" s="1">
        <v>52623.15</v>
      </c>
      <c r="I715" s="1">
        <v>0.25</v>
      </c>
      <c r="J715" s="1">
        <v>6929.2</v>
      </c>
      <c r="K715" s="1" t="s">
        <v>10</v>
      </c>
    </row>
    <row r="716" spans="1:11" ht="15" customHeight="1" x14ac:dyDescent="0.25">
      <c r="A716" s="1">
        <v>10715</v>
      </c>
      <c r="B716" s="2">
        <v>45948</v>
      </c>
      <c r="C716" s="1" t="s">
        <v>22</v>
      </c>
      <c r="D716" s="1" t="s">
        <v>37</v>
      </c>
      <c r="E716" s="1" t="s">
        <v>8</v>
      </c>
      <c r="F716" s="1" t="s">
        <v>12</v>
      </c>
      <c r="G716" s="1">
        <v>6</v>
      </c>
      <c r="H716" s="1">
        <v>62942.55</v>
      </c>
      <c r="I716" s="1">
        <v>0.15</v>
      </c>
      <c r="J716" s="1">
        <v>1557.08</v>
      </c>
      <c r="K716" s="1" t="s">
        <v>8</v>
      </c>
    </row>
    <row r="717" spans="1:11" ht="15" customHeight="1" x14ac:dyDescent="0.25">
      <c r="A717" s="1">
        <v>10716</v>
      </c>
      <c r="B717" s="2">
        <v>45788</v>
      </c>
      <c r="C717" s="1" t="s">
        <v>21</v>
      </c>
      <c r="D717" s="1" t="s">
        <v>37</v>
      </c>
      <c r="E717" s="1" t="s">
        <v>8</v>
      </c>
      <c r="F717" s="1" t="s">
        <v>12</v>
      </c>
      <c r="G717" s="1">
        <v>2</v>
      </c>
      <c r="H717" s="1">
        <v>60309.41</v>
      </c>
      <c r="I717" s="1">
        <v>0.1</v>
      </c>
      <c r="J717" s="1">
        <v>7001.57</v>
      </c>
      <c r="K717" s="1" t="s">
        <v>8</v>
      </c>
    </row>
    <row r="718" spans="1:11" ht="15" customHeight="1" x14ac:dyDescent="0.25">
      <c r="A718" s="1">
        <v>10717</v>
      </c>
      <c r="B718" s="2">
        <v>45886</v>
      </c>
      <c r="C718" s="1" t="s">
        <v>25</v>
      </c>
      <c r="D718" s="1" t="s">
        <v>36</v>
      </c>
      <c r="E718" s="1" t="s">
        <v>10</v>
      </c>
      <c r="F718" s="1" t="s">
        <v>12</v>
      </c>
      <c r="G718" s="1">
        <v>2</v>
      </c>
      <c r="H718" s="1">
        <v>72088.55</v>
      </c>
      <c r="I718" s="1">
        <v>0</v>
      </c>
      <c r="J718" s="1">
        <v>9207.85</v>
      </c>
      <c r="K718" s="1" t="s">
        <v>10</v>
      </c>
    </row>
    <row r="719" spans="1:11" ht="15" customHeight="1" x14ac:dyDescent="0.25">
      <c r="A719" s="1">
        <v>10718</v>
      </c>
      <c r="B719" s="2">
        <v>45765</v>
      </c>
      <c r="C719" s="1" t="s">
        <v>22</v>
      </c>
      <c r="D719" s="1" t="s">
        <v>34</v>
      </c>
      <c r="E719" s="1" t="s">
        <v>10</v>
      </c>
      <c r="F719" s="1" t="s">
        <v>11</v>
      </c>
      <c r="G719" s="1">
        <v>2</v>
      </c>
      <c r="H719" s="1">
        <v>40427.160000000003</v>
      </c>
      <c r="I719" s="1">
        <v>0.25</v>
      </c>
      <c r="J719" s="1">
        <v>4906.68</v>
      </c>
      <c r="K719" s="1" t="s">
        <v>10</v>
      </c>
    </row>
    <row r="720" spans="1:11" ht="15" customHeight="1" x14ac:dyDescent="0.25">
      <c r="A720" s="1">
        <v>10719</v>
      </c>
      <c r="B720" s="2">
        <v>45829</v>
      </c>
      <c r="C720" s="1" t="s">
        <v>18</v>
      </c>
      <c r="D720" s="1" t="s">
        <v>37</v>
      </c>
      <c r="E720" s="1" t="s">
        <v>8</v>
      </c>
      <c r="F720" s="1" t="s">
        <v>12</v>
      </c>
      <c r="G720" s="1">
        <v>7</v>
      </c>
      <c r="H720" s="1">
        <v>36892.92</v>
      </c>
      <c r="I720" s="1">
        <v>0.05</v>
      </c>
      <c r="J720" s="1">
        <v>10564.06</v>
      </c>
      <c r="K720" s="1" t="s">
        <v>8</v>
      </c>
    </row>
    <row r="721" spans="1:11" ht="15" customHeight="1" x14ac:dyDescent="0.25">
      <c r="A721" s="1">
        <v>10720</v>
      </c>
      <c r="B721" s="2">
        <v>45759</v>
      </c>
      <c r="C721" s="1" t="s">
        <v>18</v>
      </c>
      <c r="D721" s="1" t="s">
        <v>34</v>
      </c>
      <c r="E721" s="1" t="s">
        <v>10</v>
      </c>
      <c r="F721" s="1" t="s">
        <v>11</v>
      </c>
      <c r="G721" s="1">
        <v>3</v>
      </c>
      <c r="H721" s="1">
        <v>30440.6</v>
      </c>
      <c r="I721" s="1">
        <v>0.1</v>
      </c>
      <c r="J721" s="1">
        <v>7801.76</v>
      </c>
      <c r="K721" s="1" t="s">
        <v>10</v>
      </c>
    </row>
    <row r="722" spans="1:11" ht="15" customHeight="1" x14ac:dyDescent="0.25">
      <c r="A722" s="1">
        <v>10721</v>
      </c>
      <c r="B722" s="2">
        <v>46011</v>
      </c>
      <c r="C722" s="1" t="s">
        <v>25</v>
      </c>
      <c r="D722" s="1" t="s">
        <v>38</v>
      </c>
      <c r="E722" s="1" t="s">
        <v>10</v>
      </c>
      <c r="F722" s="1" t="s">
        <v>11</v>
      </c>
      <c r="G722" s="1">
        <v>1</v>
      </c>
      <c r="H722" s="1">
        <v>11949.98</v>
      </c>
      <c r="I722" s="1">
        <v>0.15</v>
      </c>
      <c r="J722" s="1">
        <v>10796.02</v>
      </c>
      <c r="K722" s="1" t="s">
        <v>10</v>
      </c>
    </row>
    <row r="723" spans="1:11" ht="15" customHeight="1" x14ac:dyDescent="0.25">
      <c r="A723" s="1">
        <v>10722</v>
      </c>
      <c r="B723" s="2">
        <v>45669</v>
      </c>
      <c r="C723" s="1" t="s">
        <v>18</v>
      </c>
      <c r="D723" s="1" t="s">
        <v>36</v>
      </c>
      <c r="E723" s="1" t="s">
        <v>10</v>
      </c>
      <c r="F723" s="1" t="s">
        <v>12</v>
      </c>
      <c r="G723" s="1">
        <v>4</v>
      </c>
      <c r="H723" s="1">
        <v>43159.24</v>
      </c>
      <c r="I723" s="1">
        <v>0.25</v>
      </c>
      <c r="J723" s="1">
        <v>7500.89</v>
      </c>
      <c r="K723" s="1" t="s">
        <v>10</v>
      </c>
    </row>
    <row r="724" spans="1:11" ht="15" customHeight="1" x14ac:dyDescent="0.25">
      <c r="A724" s="1">
        <v>10723</v>
      </c>
      <c r="B724" s="2">
        <v>45932</v>
      </c>
      <c r="C724" s="1" t="s">
        <v>19</v>
      </c>
      <c r="D724" s="1" t="s">
        <v>34</v>
      </c>
      <c r="E724" s="1" t="s">
        <v>10</v>
      </c>
      <c r="F724" s="1" t="s">
        <v>12</v>
      </c>
      <c r="G724" s="1">
        <v>1</v>
      </c>
      <c r="H724" s="1">
        <v>21137.43</v>
      </c>
      <c r="I724" s="1">
        <v>0</v>
      </c>
      <c r="J724" s="1">
        <v>1618.89</v>
      </c>
      <c r="K724" s="1" t="s">
        <v>10</v>
      </c>
    </row>
    <row r="725" spans="1:11" ht="15" customHeight="1" x14ac:dyDescent="0.25">
      <c r="A725" s="1">
        <v>10724</v>
      </c>
      <c r="B725" s="2">
        <v>45758</v>
      </c>
      <c r="C725" s="1" t="s">
        <v>17</v>
      </c>
      <c r="D725" s="1" t="s">
        <v>40</v>
      </c>
      <c r="E725" s="1" t="s">
        <v>10</v>
      </c>
      <c r="F725" s="1" t="s">
        <v>13</v>
      </c>
      <c r="G725" s="1">
        <v>7</v>
      </c>
      <c r="H725" s="1">
        <v>69137.41</v>
      </c>
      <c r="I725" s="1">
        <v>0.2</v>
      </c>
      <c r="J725" s="1">
        <v>3750.82</v>
      </c>
      <c r="K725" s="1" t="s">
        <v>10</v>
      </c>
    </row>
    <row r="726" spans="1:11" ht="15" customHeight="1" x14ac:dyDescent="0.25">
      <c r="A726" s="1">
        <v>10725</v>
      </c>
      <c r="B726" s="2">
        <v>45701</v>
      </c>
      <c r="C726" s="1" t="s">
        <v>20</v>
      </c>
      <c r="D726" s="1" t="s">
        <v>40</v>
      </c>
      <c r="E726" s="1" t="s">
        <v>10</v>
      </c>
      <c r="F726" s="1" t="s">
        <v>11</v>
      </c>
      <c r="G726" s="1">
        <v>1</v>
      </c>
      <c r="H726" s="1">
        <v>43947.71</v>
      </c>
      <c r="I726" s="1">
        <v>0.05</v>
      </c>
      <c r="J726" s="1">
        <v>2461.4499999999998</v>
      </c>
      <c r="K726" s="1" t="s">
        <v>10</v>
      </c>
    </row>
    <row r="727" spans="1:11" ht="15" customHeight="1" x14ac:dyDescent="0.25">
      <c r="A727" s="1">
        <v>10726</v>
      </c>
      <c r="B727" s="2">
        <v>45962</v>
      </c>
      <c r="C727" s="1" t="s">
        <v>17</v>
      </c>
      <c r="D727" s="1" t="s">
        <v>35</v>
      </c>
      <c r="E727" s="1" t="s">
        <v>10</v>
      </c>
      <c r="F727" s="1" t="s">
        <v>12</v>
      </c>
      <c r="G727" s="1">
        <v>7</v>
      </c>
      <c r="H727" s="1">
        <v>44666.59</v>
      </c>
      <c r="I727" s="1">
        <v>0.15</v>
      </c>
      <c r="J727" s="1">
        <v>10910.48</v>
      </c>
      <c r="K727" s="1" t="s">
        <v>10</v>
      </c>
    </row>
    <row r="728" spans="1:11" ht="15" customHeight="1" x14ac:dyDescent="0.25">
      <c r="A728" s="1">
        <v>10727</v>
      </c>
      <c r="B728" s="2">
        <v>45674</v>
      </c>
      <c r="C728" s="1" t="s">
        <v>22</v>
      </c>
      <c r="D728" s="1" t="s">
        <v>36</v>
      </c>
      <c r="E728" s="1" t="s">
        <v>10</v>
      </c>
      <c r="F728" s="1" t="s">
        <v>12</v>
      </c>
      <c r="G728" s="1">
        <v>1</v>
      </c>
      <c r="H728" s="1">
        <v>26941.89</v>
      </c>
      <c r="I728" s="1">
        <v>0.1</v>
      </c>
      <c r="J728" s="1">
        <v>9136.7800000000007</v>
      </c>
      <c r="K728" s="1" t="s">
        <v>10</v>
      </c>
    </row>
    <row r="729" spans="1:11" ht="15" customHeight="1" x14ac:dyDescent="0.25">
      <c r="A729" s="1">
        <v>10728</v>
      </c>
      <c r="B729" s="2">
        <v>45987</v>
      </c>
      <c r="C729" s="1" t="s">
        <v>20</v>
      </c>
      <c r="D729" s="1" t="s">
        <v>36</v>
      </c>
      <c r="E729" s="1" t="s">
        <v>10</v>
      </c>
      <c r="F729" s="1" t="s">
        <v>12</v>
      </c>
      <c r="G729" s="1">
        <v>2</v>
      </c>
      <c r="H729" s="1">
        <v>4373.21</v>
      </c>
      <c r="I729" s="1">
        <v>0</v>
      </c>
      <c r="J729" s="1">
        <v>8132.96</v>
      </c>
      <c r="K729" s="1" t="s">
        <v>10</v>
      </c>
    </row>
    <row r="730" spans="1:11" ht="15" customHeight="1" x14ac:dyDescent="0.25">
      <c r="A730" s="1">
        <v>10729</v>
      </c>
      <c r="B730" s="2">
        <v>45714</v>
      </c>
      <c r="C730" s="1" t="s">
        <v>23</v>
      </c>
      <c r="D730" s="1" t="s">
        <v>35</v>
      </c>
      <c r="E730" s="1" t="s">
        <v>10</v>
      </c>
      <c r="F730" s="1" t="s">
        <v>13</v>
      </c>
      <c r="G730" s="1">
        <v>5</v>
      </c>
      <c r="H730" s="1">
        <v>2864.91</v>
      </c>
      <c r="I730" s="1">
        <v>0.05</v>
      </c>
      <c r="J730" s="1">
        <v>3646.55</v>
      </c>
      <c r="K730" s="1" t="s">
        <v>10</v>
      </c>
    </row>
    <row r="731" spans="1:11" ht="15" customHeight="1" x14ac:dyDescent="0.25">
      <c r="A731" s="1">
        <v>10730</v>
      </c>
      <c r="B731" s="2">
        <v>45968</v>
      </c>
      <c r="C731" s="1" t="s">
        <v>20</v>
      </c>
      <c r="D731" s="1" t="s">
        <v>34</v>
      </c>
      <c r="E731" s="1" t="s">
        <v>10</v>
      </c>
      <c r="F731" s="1" t="s">
        <v>13</v>
      </c>
      <c r="G731" s="1">
        <v>2</v>
      </c>
      <c r="H731" s="1">
        <v>32038.47</v>
      </c>
      <c r="I731" s="1">
        <v>0</v>
      </c>
      <c r="J731" s="1">
        <v>2249.34</v>
      </c>
      <c r="K731" s="1" t="s">
        <v>10</v>
      </c>
    </row>
    <row r="732" spans="1:11" ht="15" customHeight="1" x14ac:dyDescent="0.25">
      <c r="A732" s="1">
        <v>10731</v>
      </c>
      <c r="B732" s="2">
        <v>45960</v>
      </c>
      <c r="C732" s="1" t="s">
        <v>17</v>
      </c>
      <c r="D732" s="1" t="s">
        <v>36</v>
      </c>
      <c r="E732" s="1" t="s">
        <v>10</v>
      </c>
      <c r="F732" s="1" t="s">
        <v>9</v>
      </c>
      <c r="G732" s="1">
        <v>2</v>
      </c>
      <c r="H732" s="1">
        <v>6800.12</v>
      </c>
      <c r="I732" s="1">
        <v>0.25</v>
      </c>
      <c r="J732" s="1">
        <v>9089.59</v>
      </c>
      <c r="K732" s="1" t="s">
        <v>10</v>
      </c>
    </row>
    <row r="733" spans="1:11" ht="15" customHeight="1" x14ac:dyDescent="0.25">
      <c r="A733" s="1">
        <v>10732</v>
      </c>
      <c r="B733" s="2">
        <v>45669</v>
      </c>
      <c r="C733" s="1" t="s">
        <v>25</v>
      </c>
      <c r="D733" s="1" t="s">
        <v>40</v>
      </c>
      <c r="E733" s="1" t="s">
        <v>10</v>
      </c>
      <c r="F733" s="1" t="s">
        <v>11</v>
      </c>
      <c r="G733" s="1">
        <v>6</v>
      </c>
      <c r="H733" s="1">
        <v>45710.1</v>
      </c>
      <c r="I733" s="1">
        <v>0.2</v>
      </c>
      <c r="J733" s="1">
        <v>5716.19</v>
      </c>
      <c r="K733" s="1" t="s">
        <v>10</v>
      </c>
    </row>
    <row r="734" spans="1:11" ht="15" customHeight="1" x14ac:dyDescent="0.25">
      <c r="A734" s="1">
        <v>10733</v>
      </c>
      <c r="B734" s="2">
        <v>45975</v>
      </c>
      <c r="C734" s="1" t="s">
        <v>20</v>
      </c>
      <c r="D734" s="1" t="s">
        <v>40</v>
      </c>
      <c r="E734" s="1" t="s">
        <v>10</v>
      </c>
      <c r="F734" s="1" t="s">
        <v>9</v>
      </c>
      <c r="G734" s="1">
        <v>6</v>
      </c>
      <c r="H734" s="1">
        <v>66132.490000000005</v>
      </c>
      <c r="I734" s="1">
        <v>0.1</v>
      </c>
      <c r="J734" s="1">
        <v>2748.19</v>
      </c>
      <c r="K734" s="1" t="s">
        <v>10</v>
      </c>
    </row>
    <row r="735" spans="1:11" ht="15" customHeight="1" x14ac:dyDescent="0.25">
      <c r="A735" s="1">
        <v>10734</v>
      </c>
      <c r="B735" s="2">
        <v>45737</v>
      </c>
      <c r="C735" s="1" t="s">
        <v>23</v>
      </c>
      <c r="D735" s="1" t="s">
        <v>37</v>
      </c>
      <c r="E735" s="1" t="s">
        <v>8</v>
      </c>
      <c r="F735" s="1" t="s">
        <v>12</v>
      </c>
      <c r="G735" s="1">
        <v>1</v>
      </c>
      <c r="H735" s="1">
        <v>66277.149999999994</v>
      </c>
      <c r="I735" s="1">
        <v>0</v>
      </c>
      <c r="J735" s="1">
        <v>7418.63</v>
      </c>
      <c r="K735" s="1" t="s">
        <v>8</v>
      </c>
    </row>
    <row r="736" spans="1:11" ht="15" customHeight="1" x14ac:dyDescent="0.25">
      <c r="A736" s="1">
        <v>10735</v>
      </c>
      <c r="B736" s="2">
        <v>45873</v>
      </c>
      <c r="C736" s="1" t="s">
        <v>23</v>
      </c>
      <c r="D736" s="1" t="s">
        <v>38</v>
      </c>
      <c r="E736" s="1" t="s">
        <v>10</v>
      </c>
      <c r="F736" s="1" t="s">
        <v>13</v>
      </c>
      <c r="G736" s="1">
        <v>7</v>
      </c>
      <c r="H736" s="1">
        <v>49598.879999999997</v>
      </c>
      <c r="I736" s="1">
        <v>0.15</v>
      </c>
      <c r="J736" s="1">
        <v>531.99</v>
      </c>
      <c r="K736" s="1" t="s">
        <v>10</v>
      </c>
    </row>
    <row r="737" spans="1:11" ht="15" customHeight="1" x14ac:dyDescent="0.25">
      <c r="A737" s="1">
        <v>10736</v>
      </c>
      <c r="B737" s="2">
        <v>45996</v>
      </c>
      <c r="C737" s="1" t="s">
        <v>23</v>
      </c>
      <c r="D737" s="1" t="s">
        <v>36</v>
      </c>
      <c r="E737" s="1" t="s">
        <v>10</v>
      </c>
      <c r="F737" s="1" t="s">
        <v>13</v>
      </c>
      <c r="G737" s="1">
        <v>2</v>
      </c>
      <c r="H737" s="1">
        <v>16236.77</v>
      </c>
      <c r="I737" s="1">
        <v>0.25</v>
      </c>
      <c r="J737" s="1">
        <v>3947.73</v>
      </c>
      <c r="K737" s="1" t="s">
        <v>10</v>
      </c>
    </row>
    <row r="738" spans="1:11" ht="15" customHeight="1" x14ac:dyDescent="0.25">
      <c r="A738" s="1">
        <v>10737</v>
      </c>
      <c r="B738" s="2">
        <v>45921</v>
      </c>
      <c r="C738" s="1" t="s">
        <v>17</v>
      </c>
      <c r="D738" s="1" t="s">
        <v>34</v>
      </c>
      <c r="E738" s="1" t="s">
        <v>10</v>
      </c>
      <c r="F738" s="1" t="s">
        <v>9</v>
      </c>
      <c r="G738" s="1">
        <v>1</v>
      </c>
      <c r="H738" s="1">
        <v>64793.26</v>
      </c>
      <c r="I738" s="1">
        <v>0.25</v>
      </c>
      <c r="J738" s="1">
        <v>5649.26</v>
      </c>
      <c r="K738" s="1" t="s">
        <v>10</v>
      </c>
    </row>
    <row r="739" spans="1:11" ht="15" customHeight="1" x14ac:dyDescent="0.25">
      <c r="A739" s="1">
        <v>10738</v>
      </c>
      <c r="B739" s="2">
        <v>45806</v>
      </c>
      <c r="C739" s="1" t="s">
        <v>20</v>
      </c>
      <c r="D739" s="1" t="s">
        <v>35</v>
      </c>
      <c r="E739" s="1" t="s">
        <v>10</v>
      </c>
      <c r="F739" s="1" t="s">
        <v>13</v>
      </c>
      <c r="G739" s="1">
        <v>6</v>
      </c>
      <c r="H739" s="1">
        <v>66513.960000000006</v>
      </c>
      <c r="I739" s="1">
        <v>0.1</v>
      </c>
      <c r="J739" s="1">
        <v>1818.1</v>
      </c>
      <c r="K739" s="1" t="s">
        <v>10</v>
      </c>
    </row>
    <row r="740" spans="1:11" ht="15" customHeight="1" x14ac:dyDescent="0.25">
      <c r="A740" s="1">
        <v>10739</v>
      </c>
      <c r="B740" s="2">
        <v>45738</v>
      </c>
      <c r="C740" s="1" t="s">
        <v>21</v>
      </c>
      <c r="D740" s="1" t="s">
        <v>35</v>
      </c>
      <c r="E740" s="1" t="s">
        <v>10</v>
      </c>
      <c r="F740" s="1" t="s">
        <v>12</v>
      </c>
      <c r="G740" s="1">
        <v>5</v>
      </c>
      <c r="H740" s="1">
        <v>15150.69</v>
      </c>
      <c r="I740" s="1">
        <v>0.25</v>
      </c>
      <c r="J740" s="1">
        <v>11816.62</v>
      </c>
      <c r="K740" s="1" t="s">
        <v>10</v>
      </c>
    </row>
    <row r="741" spans="1:11" ht="15" customHeight="1" x14ac:dyDescent="0.25">
      <c r="A741" s="1">
        <v>10740</v>
      </c>
      <c r="B741" s="2">
        <v>45872</v>
      </c>
      <c r="C741" s="1" t="s">
        <v>25</v>
      </c>
      <c r="D741" s="1" t="s">
        <v>34</v>
      </c>
      <c r="E741" s="1" t="s">
        <v>10</v>
      </c>
      <c r="F741" s="1" t="s">
        <v>13</v>
      </c>
      <c r="G741" s="1">
        <v>4</v>
      </c>
      <c r="H741" s="1">
        <v>55438.239999999998</v>
      </c>
      <c r="I741" s="1">
        <v>0.15</v>
      </c>
      <c r="J741" s="1">
        <v>2548.71</v>
      </c>
      <c r="K741" s="1" t="s">
        <v>10</v>
      </c>
    </row>
    <row r="742" spans="1:11" ht="15" customHeight="1" x14ac:dyDescent="0.25">
      <c r="A742" s="1">
        <v>10741</v>
      </c>
      <c r="B742" s="2">
        <v>45855</v>
      </c>
      <c r="C742" s="1" t="s">
        <v>19</v>
      </c>
      <c r="D742" s="1" t="s">
        <v>33</v>
      </c>
      <c r="E742" s="1" t="s">
        <v>8</v>
      </c>
      <c r="F742" s="1" t="s">
        <v>9</v>
      </c>
      <c r="G742" s="1">
        <v>1</v>
      </c>
      <c r="H742" s="1">
        <v>21845.71</v>
      </c>
      <c r="I742" s="1">
        <v>0</v>
      </c>
      <c r="J742" s="1">
        <v>1607.72</v>
      </c>
      <c r="K742" s="1" t="s">
        <v>8</v>
      </c>
    </row>
    <row r="743" spans="1:11" ht="15" customHeight="1" x14ac:dyDescent="0.25">
      <c r="A743" s="1">
        <v>10742</v>
      </c>
      <c r="B743" s="2">
        <v>45857</v>
      </c>
      <c r="C743" s="1" t="s">
        <v>20</v>
      </c>
      <c r="D743" s="1" t="s">
        <v>39</v>
      </c>
      <c r="E743" s="1" t="s">
        <v>10</v>
      </c>
      <c r="F743" s="1" t="s">
        <v>12</v>
      </c>
      <c r="G743" s="1">
        <v>5</v>
      </c>
      <c r="H743" s="1">
        <v>60296.7</v>
      </c>
      <c r="I743" s="1">
        <v>0.1</v>
      </c>
      <c r="J743" s="1">
        <v>2482.2399999999998</v>
      </c>
      <c r="K743" s="1" t="s">
        <v>10</v>
      </c>
    </row>
    <row r="744" spans="1:11" ht="15" customHeight="1" x14ac:dyDescent="0.25">
      <c r="A744" s="1">
        <v>10743</v>
      </c>
      <c r="B744" s="2">
        <v>45682</v>
      </c>
      <c r="C744" s="1" t="s">
        <v>23</v>
      </c>
      <c r="D744" s="1" t="s">
        <v>38</v>
      </c>
      <c r="E744" s="1" t="s">
        <v>10</v>
      </c>
      <c r="F744" s="1" t="s">
        <v>9</v>
      </c>
      <c r="G744" s="1">
        <v>4</v>
      </c>
      <c r="H744" s="1">
        <v>74794.22</v>
      </c>
      <c r="I744" s="1">
        <v>0.25</v>
      </c>
      <c r="J744" s="1">
        <v>9240.2800000000007</v>
      </c>
      <c r="K744" s="1" t="s">
        <v>10</v>
      </c>
    </row>
    <row r="745" spans="1:11" ht="15" customHeight="1" x14ac:dyDescent="0.25">
      <c r="A745" s="1">
        <v>10744</v>
      </c>
      <c r="B745" s="2">
        <v>45746</v>
      </c>
      <c r="C745" s="1" t="s">
        <v>21</v>
      </c>
      <c r="D745" s="1" t="s">
        <v>35</v>
      </c>
      <c r="E745" s="1" t="s">
        <v>10</v>
      </c>
      <c r="F745" s="1" t="s">
        <v>13</v>
      </c>
      <c r="G745" s="1">
        <v>3</v>
      </c>
      <c r="H745" s="1">
        <v>2736.94</v>
      </c>
      <c r="I745" s="1">
        <v>0.25</v>
      </c>
      <c r="J745" s="1">
        <v>5134.79</v>
      </c>
      <c r="K745" s="1" t="s">
        <v>10</v>
      </c>
    </row>
    <row r="746" spans="1:11" ht="15" customHeight="1" x14ac:dyDescent="0.25">
      <c r="A746" s="1">
        <v>10745</v>
      </c>
      <c r="B746" s="2">
        <v>45925</v>
      </c>
      <c r="C746" s="1" t="s">
        <v>19</v>
      </c>
      <c r="D746" s="1" t="s">
        <v>36</v>
      </c>
      <c r="E746" s="1" t="s">
        <v>10</v>
      </c>
      <c r="F746" s="1" t="s">
        <v>9</v>
      </c>
      <c r="G746" s="1">
        <v>1</v>
      </c>
      <c r="H746" s="1">
        <v>67353.759999999995</v>
      </c>
      <c r="I746" s="1">
        <v>0.15</v>
      </c>
      <c r="J746" s="1">
        <v>6806.72</v>
      </c>
      <c r="K746" s="1" t="s">
        <v>10</v>
      </c>
    </row>
    <row r="747" spans="1:11" ht="15" customHeight="1" x14ac:dyDescent="0.25">
      <c r="A747" s="1">
        <v>10746</v>
      </c>
      <c r="B747" s="2">
        <v>45800</v>
      </c>
      <c r="C747" s="1" t="s">
        <v>19</v>
      </c>
      <c r="D747" s="1" t="s">
        <v>38</v>
      </c>
      <c r="E747" s="1" t="s">
        <v>10</v>
      </c>
      <c r="F747" s="1" t="s">
        <v>9</v>
      </c>
      <c r="G747" s="1">
        <v>1</v>
      </c>
      <c r="H747" s="1">
        <v>46885.97</v>
      </c>
      <c r="I747" s="1">
        <v>0.2</v>
      </c>
      <c r="J747" s="1">
        <v>301.06</v>
      </c>
      <c r="K747" s="1" t="s">
        <v>10</v>
      </c>
    </row>
    <row r="748" spans="1:11" ht="15" customHeight="1" x14ac:dyDescent="0.25">
      <c r="A748" s="1">
        <v>10747</v>
      </c>
      <c r="B748" s="2">
        <v>45716</v>
      </c>
      <c r="C748" s="1" t="s">
        <v>22</v>
      </c>
      <c r="D748" s="1" t="s">
        <v>36</v>
      </c>
      <c r="E748" s="1" t="s">
        <v>10</v>
      </c>
      <c r="F748" s="1" t="s">
        <v>11</v>
      </c>
      <c r="G748" s="1">
        <v>3</v>
      </c>
      <c r="H748" s="1">
        <v>73017.009999999995</v>
      </c>
      <c r="I748" s="1">
        <v>0.2</v>
      </c>
      <c r="J748" s="1">
        <v>461.45</v>
      </c>
      <c r="K748" s="1" t="s">
        <v>10</v>
      </c>
    </row>
    <row r="749" spans="1:11" ht="15" customHeight="1" x14ac:dyDescent="0.25">
      <c r="A749" s="1">
        <v>10748</v>
      </c>
      <c r="B749" s="2">
        <v>46022</v>
      </c>
      <c r="C749" s="1" t="s">
        <v>20</v>
      </c>
      <c r="D749" s="1" t="s">
        <v>33</v>
      </c>
      <c r="E749" s="1" t="s">
        <v>8</v>
      </c>
      <c r="F749" s="1" t="s">
        <v>13</v>
      </c>
      <c r="G749" s="1">
        <v>3</v>
      </c>
      <c r="H749" s="1">
        <v>35143.21</v>
      </c>
      <c r="I749" s="1">
        <v>0.25</v>
      </c>
      <c r="J749" s="1">
        <v>5377.62</v>
      </c>
      <c r="K749" s="1" t="s">
        <v>8</v>
      </c>
    </row>
    <row r="750" spans="1:11" ht="15" customHeight="1" x14ac:dyDescent="0.25">
      <c r="A750" s="1">
        <v>10749</v>
      </c>
      <c r="B750" s="2">
        <v>45683</v>
      </c>
      <c r="C750" s="1" t="s">
        <v>17</v>
      </c>
      <c r="D750" s="1" t="s">
        <v>40</v>
      </c>
      <c r="E750" s="1" t="s">
        <v>10</v>
      </c>
      <c r="F750" s="1" t="s">
        <v>13</v>
      </c>
      <c r="G750" s="1">
        <v>1</v>
      </c>
      <c r="H750" s="1">
        <v>63630.400000000001</v>
      </c>
      <c r="I750" s="1">
        <v>0</v>
      </c>
      <c r="J750" s="1">
        <v>9809.0300000000007</v>
      </c>
      <c r="K750" s="1" t="s">
        <v>10</v>
      </c>
    </row>
    <row r="751" spans="1:11" ht="15" customHeight="1" x14ac:dyDescent="0.25">
      <c r="A751" s="1">
        <v>10750</v>
      </c>
      <c r="B751" s="2">
        <v>45704</v>
      </c>
      <c r="C751" s="1" t="s">
        <v>20</v>
      </c>
      <c r="D751" s="1" t="s">
        <v>38</v>
      </c>
      <c r="E751" s="1" t="s">
        <v>10</v>
      </c>
      <c r="F751" s="1" t="s">
        <v>9</v>
      </c>
      <c r="G751" s="1">
        <v>3</v>
      </c>
      <c r="H751" s="1">
        <v>5148.3599999999997</v>
      </c>
      <c r="I751" s="1">
        <v>0.1</v>
      </c>
      <c r="J751" s="1">
        <v>10628.6</v>
      </c>
      <c r="K751" s="1" t="s">
        <v>10</v>
      </c>
    </row>
    <row r="752" spans="1:11" ht="15" customHeight="1" x14ac:dyDescent="0.25">
      <c r="A752" s="1">
        <v>10751</v>
      </c>
      <c r="B752" s="2">
        <v>45945</v>
      </c>
      <c r="C752" s="1" t="s">
        <v>21</v>
      </c>
      <c r="D752" s="1" t="s">
        <v>37</v>
      </c>
      <c r="E752" s="1" t="s">
        <v>8</v>
      </c>
      <c r="F752" s="1" t="s">
        <v>11</v>
      </c>
      <c r="G752" s="1">
        <v>2</v>
      </c>
      <c r="H752" s="1">
        <v>25478.29</v>
      </c>
      <c r="I752" s="1">
        <v>0.25</v>
      </c>
      <c r="J752" s="1">
        <v>1086.1400000000001</v>
      </c>
      <c r="K752" s="1" t="s">
        <v>8</v>
      </c>
    </row>
    <row r="753" spans="1:11" ht="15" customHeight="1" x14ac:dyDescent="0.25">
      <c r="A753" s="1">
        <v>10752</v>
      </c>
      <c r="B753" s="2">
        <v>45923</v>
      </c>
      <c r="C753" s="1" t="s">
        <v>19</v>
      </c>
      <c r="D753" s="1" t="s">
        <v>35</v>
      </c>
      <c r="E753" s="1" t="s">
        <v>10</v>
      </c>
      <c r="F753" s="1" t="s">
        <v>13</v>
      </c>
      <c r="G753" s="1">
        <v>4</v>
      </c>
      <c r="H753" s="1">
        <v>5492.73</v>
      </c>
      <c r="I753" s="1">
        <v>0.05</v>
      </c>
      <c r="J753" s="1">
        <v>6483.44</v>
      </c>
      <c r="K753" s="1" t="s">
        <v>10</v>
      </c>
    </row>
    <row r="754" spans="1:11" ht="15" customHeight="1" x14ac:dyDescent="0.25">
      <c r="A754" s="1">
        <v>10753</v>
      </c>
      <c r="B754" s="2">
        <v>45673</v>
      </c>
      <c r="C754" s="1" t="s">
        <v>20</v>
      </c>
      <c r="D754" s="1" t="s">
        <v>38</v>
      </c>
      <c r="E754" s="1" t="s">
        <v>10</v>
      </c>
      <c r="F754" s="1" t="s">
        <v>12</v>
      </c>
      <c r="G754" s="1">
        <v>4</v>
      </c>
      <c r="H754" s="1">
        <v>73163.06</v>
      </c>
      <c r="I754" s="1">
        <v>0.1</v>
      </c>
      <c r="J754" s="1">
        <v>10963.09</v>
      </c>
      <c r="K754" s="1" t="s">
        <v>10</v>
      </c>
    </row>
    <row r="755" spans="1:11" ht="15" customHeight="1" x14ac:dyDescent="0.25">
      <c r="A755" s="1">
        <v>10754</v>
      </c>
      <c r="B755" s="2">
        <v>45856</v>
      </c>
      <c r="C755" s="1" t="s">
        <v>17</v>
      </c>
      <c r="D755" s="1" t="s">
        <v>38</v>
      </c>
      <c r="E755" s="1" t="s">
        <v>10</v>
      </c>
      <c r="F755" s="1" t="s">
        <v>9</v>
      </c>
      <c r="G755" s="1">
        <v>4</v>
      </c>
      <c r="H755" s="1">
        <v>61364.56</v>
      </c>
      <c r="I755" s="1">
        <v>0.2</v>
      </c>
      <c r="J755" s="1">
        <v>4686.2700000000004</v>
      </c>
      <c r="K755" s="1" t="s">
        <v>10</v>
      </c>
    </row>
    <row r="756" spans="1:11" ht="15" customHeight="1" x14ac:dyDescent="0.25">
      <c r="A756" s="1">
        <v>10755</v>
      </c>
      <c r="B756" s="2">
        <v>45939</v>
      </c>
      <c r="C756" s="1" t="s">
        <v>22</v>
      </c>
      <c r="D756" s="1" t="s">
        <v>38</v>
      </c>
      <c r="E756" s="1" t="s">
        <v>10</v>
      </c>
      <c r="F756" s="1" t="s">
        <v>13</v>
      </c>
      <c r="G756" s="1">
        <v>2</v>
      </c>
      <c r="H756" s="1">
        <v>64014.78</v>
      </c>
      <c r="I756" s="1">
        <v>0.25</v>
      </c>
      <c r="J756" s="1">
        <v>9963.31</v>
      </c>
      <c r="K756" s="1" t="s">
        <v>10</v>
      </c>
    </row>
    <row r="757" spans="1:11" ht="15" customHeight="1" x14ac:dyDescent="0.25">
      <c r="A757" s="1">
        <v>10756</v>
      </c>
      <c r="B757" s="2">
        <v>45743</v>
      </c>
      <c r="C757" s="1" t="s">
        <v>20</v>
      </c>
      <c r="D757" s="1" t="s">
        <v>39</v>
      </c>
      <c r="E757" s="1" t="s">
        <v>10</v>
      </c>
      <c r="F757" s="1" t="s">
        <v>12</v>
      </c>
      <c r="G757" s="1">
        <v>7</v>
      </c>
      <c r="H757" s="1">
        <v>70378.41</v>
      </c>
      <c r="I757" s="1">
        <v>0.15</v>
      </c>
      <c r="J757" s="1">
        <v>1647.66</v>
      </c>
      <c r="K757" s="1" t="s">
        <v>10</v>
      </c>
    </row>
    <row r="758" spans="1:11" ht="15" customHeight="1" x14ac:dyDescent="0.25">
      <c r="A758" s="1">
        <v>10757</v>
      </c>
      <c r="B758" s="2">
        <v>45907</v>
      </c>
      <c r="C758" s="1" t="s">
        <v>25</v>
      </c>
      <c r="D758" s="1" t="s">
        <v>38</v>
      </c>
      <c r="E758" s="1" t="s">
        <v>10</v>
      </c>
      <c r="F758" s="1" t="s">
        <v>13</v>
      </c>
      <c r="G758" s="1">
        <v>3</v>
      </c>
      <c r="H758" s="1">
        <v>6840.21</v>
      </c>
      <c r="I758" s="1">
        <v>0.05</v>
      </c>
      <c r="J758" s="1">
        <v>11227.96</v>
      </c>
      <c r="K758" s="1" t="s">
        <v>10</v>
      </c>
    </row>
    <row r="759" spans="1:11" ht="15" customHeight="1" x14ac:dyDescent="0.25">
      <c r="A759" s="1">
        <v>10758</v>
      </c>
      <c r="B759" s="2">
        <v>45927</v>
      </c>
      <c r="C759" s="1" t="s">
        <v>22</v>
      </c>
      <c r="D759" s="1" t="s">
        <v>36</v>
      </c>
      <c r="E759" s="1" t="s">
        <v>10</v>
      </c>
      <c r="F759" s="1" t="s">
        <v>12</v>
      </c>
      <c r="G759" s="1">
        <v>5</v>
      </c>
      <c r="H759" s="1">
        <v>29227.02</v>
      </c>
      <c r="I759" s="1">
        <v>0.25</v>
      </c>
      <c r="J759" s="1">
        <v>9029.51</v>
      </c>
      <c r="K759" s="1" t="s">
        <v>10</v>
      </c>
    </row>
    <row r="760" spans="1:11" ht="15" customHeight="1" x14ac:dyDescent="0.25">
      <c r="A760" s="1">
        <v>10759</v>
      </c>
      <c r="B760" s="2">
        <v>45992</v>
      </c>
      <c r="C760" s="1" t="s">
        <v>17</v>
      </c>
      <c r="D760" s="1" t="s">
        <v>40</v>
      </c>
      <c r="E760" s="1" t="s">
        <v>10</v>
      </c>
      <c r="F760" s="1" t="s">
        <v>9</v>
      </c>
      <c r="G760" s="1">
        <v>3</v>
      </c>
      <c r="H760" s="1">
        <v>5792.1</v>
      </c>
      <c r="I760" s="1">
        <v>0</v>
      </c>
      <c r="J760" s="1">
        <v>11298.95</v>
      </c>
      <c r="K760" s="1" t="s">
        <v>10</v>
      </c>
    </row>
    <row r="761" spans="1:11" ht="15" customHeight="1" x14ac:dyDescent="0.25">
      <c r="A761" s="1">
        <v>10760</v>
      </c>
      <c r="B761" s="2">
        <v>45774</v>
      </c>
      <c r="C761" s="1" t="s">
        <v>21</v>
      </c>
      <c r="D761" s="1" t="s">
        <v>33</v>
      </c>
      <c r="E761" s="1" t="s">
        <v>8</v>
      </c>
      <c r="F761" s="1" t="s">
        <v>13</v>
      </c>
      <c r="G761" s="1">
        <v>1</v>
      </c>
      <c r="H761" s="1">
        <v>16204.09</v>
      </c>
      <c r="I761" s="1">
        <v>0.05</v>
      </c>
      <c r="J761" s="1">
        <v>8135.58</v>
      </c>
      <c r="K761" s="1" t="s">
        <v>8</v>
      </c>
    </row>
    <row r="762" spans="1:11" ht="15" customHeight="1" x14ac:dyDescent="0.25">
      <c r="A762" s="1">
        <v>10761</v>
      </c>
      <c r="B762" s="2">
        <v>45664</v>
      </c>
      <c r="C762" s="1" t="s">
        <v>19</v>
      </c>
      <c r="D762" s="1" t="s">
        <v>34</v>
      </c>
      <c r="E762" s="1" t="s">
        <v>10</v>
      </c>
      <c r="F762" s="1" t="s">
        <v>13</v>
      </c>
      <c r="G762" s="1">
        <v>6</v>
      </c>
      <c r="H762" s="1">
        <v>17587.75</v>
      </c>
      <c r="I762" s="1">
        <v>0.25</v>
      </c>
      <c r="J762" s="1">
        <v>4392.68</v>
      </c>
      <c r="K762" s="1" t="s">
        <v>10</v>
      </c>
    </row>
    <row r="763" spans="1:11" ht="15" customHeight="1" x14ac:dyDescent="0.25">
      <c r="A763" s="1">
        <v>10762</v>
      </c>
      <c r="B763" s="2">
        <v>45794</v>
      </c>
      <c r="C763" s="1" t="s">
        <v>20</v>
      </c>
      <c r="D763" s="1" t="s">
        <v>38</v>
      </c>
      <c r="E763" s="1" t="s">
        <v>10</v>
      </c>
      <c r="F763" s="1" t="s">
        <v>11</v>
      </c>
      <c r="G763" s="1">
        <v>4</v>
      </c>
      <c r="H763" s="1">
        <v>35448.49</v>
      </c>
      <c r="I763" s="1">
        <v>0</v>
      </c>
      <c r="J763" s="1">
        <v>11261.27</v>
      </c>
      <c r="K763" s="1" t="s">
        <v>10</v>
      </c>
    </row>
    <row r="764" spans="1:11" ht="15" customHeight="1" x14ac:dyDescent="0.25">
      <c r="A764" s="1">
        <v>10763</v>
      </c>
      <c r="B764" s="2">
        <v>45833</v>
      </c>
      <c r="C764" s="1" t="s">
        <v>17</v>
      </c>
      <c r="D764" s="1" t="s">
        <v>35</v>
      </c>
      <c r="E764" s="1" t="s">
        <v>10</v>
      </c>
      <c r="F764" s="1" t="s">
        <v>9</v>
      </c>
      <c r="G764" s="1">
        <v>3</v>
      </c>
      <c r="H764" s="1">
        <v>20507.88</v>
      </c>
      <c r="I764" s="1">
        <v>0.05</v>
      </c>
      <c r="J764" s="1">
        <v>3343.02</v>
      </c>
      <c r="K764" s="1" t="s">
        <v>10</v>
      </c>
    </row>
    <row r="765" spans="1:11" ht="15" customHeight="1" x14ac:dyDescent="0.25">
      <c r="A765" s="1">
        <v>10764</v>
      </c>
      <c r="B765" s="2">
        <v>45985</v>
      </c>
      <c r="C765" s="1" t="s">
        <v>22</v>
      </c>
      <c r="D765" s="1" t="s">
        <v>38</v>
      </c>
      <c r="E765" s="1" t="s">
        <v>10</v>
      </c>
      <c r="F765" s="1" t="s">
        <v>12</v>
      </c>
      <c r="G765" s="1">
        <v>5</v>
      </c>
      <c r="H765" s="1">
        <v>8022.87</v>
      </c>
      <c r="I765" s="1">
        <v>0</v>
      </c>
      <c r="J765" s="1">
        <v>4019.46</v>
      </c>
      <c r="K765" s="1" t="s">
        <v>10</v>
      </c>
    </row>
    <row r="766" spans="1:11" ht="15" customHeight="1" x14ac:dyDescent="0.25">
      <c r="A766" s="1">
        <v>10765</v>
      </c>
      <c r="B766" s="2">
        <v>45972</v>
      </c>
      <c r="C766" s="1" t="s">
        <v>25</v>
      </c>
      <c r="D766" s="1" t="s">
        <v>35</v>
      </c>
      <c r="E766" s="1" t="s">
        <v>10</v>
      </c>
      <c r="F766" s="1" t="s">
        <v>13</v>
      </c>
      <c r="G766" s="1">
        <v>1</v>
      </c>
      <c r="H766" s="1">
        <v>12978.09</v>
      </c>
      <c r="I766" s="1">
        <v>0</v>
      </c>
      <c r="J766" s="1">
        <v>8424.66</v>
      </c>
      <c r="K766" s="1" t="s">
        <v>10</v>
      </c>
    </row>
    <row r="767" spans="1:11" ht="15" customHeight="1" x14ac:dyDescent="0.25">
      <c r="A767" s="1">
        <v>10766</v>
      </c>
      <c r="B767" s="2">
        <v>45872</v>
      </c>
      <c r="C767" s="1" t="s">
        <v>17</v>
      </c>
      <c r="D767" s="1" t="s">
        <v>36</v>
      </c>
      <c r="E767" s="1" t="s">
        <v>10</v>
      </c>
      <c r="F767" s="1" t="s">
        <v>13</v>
      </c>
      <c r="G767" s="1">
        <v>2</v>
      </c>
      <c r="H767" s="1">
        <v>11472.03</v>
      </c>
      <c r="I767" s="1">
        <v>0.05</v>
      </c>
      <c r="J767" s="1">
        <v>9195.5300000000007</v>
      </c>
      <c r="K767" s="1" t="s">
        <v>10</v>
      </c>
    </row>
    <row r="768" spans="1:11" ht="15" customHeight="1" x14ac:dyDescent="0.25">
      <c r="A768" s="1">
        <v>10767</v>
      </c>
      <c r="B768" s="2">
        <v>45739</v>
      </c>
      <c r="C768" s="1" t="s">
        <v>18</v>
      </c>
      <c r="D768" s="1" t="s">
        <v>35</v>
      </c>
      <c r="E768" s="1" t="s">
        <v>10</v>
      </c>
      <c r="F768" s="1" t="s">
        <v>12</v>
      </c>
      <c r="G768" s="1">
        <v>7</v>
      </c>
      <c r="H768" s="1">
        <v>72994.22</v>
      </c>
      <c r="I768" s="1">
        <v>0.05</v>
      </c>
      <c r="J768" s="1">
        <v>11156.37</v>
      </c>
      <c r="K768" s="1" t="s">
        <v>10</v>
      </c>
    </row>
    <row r="769" spans="1:11" ht="15" customHeight="1" x14ac:dyDescent="0.25">
      <c r="A769" s="1">
        <v>10768</v>
      </c>
      <c r="B769" s="2">
        <v>45880</v>
      </c>
      <c r="C769" s="1" t="s">
        <v>23</v>
      </c>
      <c r="D769" s="1" t="s">
        <v>37</v>
      </c>
      <c r="E769" s="1" t="s">
        <v>8</v>
      </c>
      <c r="F769" s="1" t="s">
        <v>9</v>
      </c>
      <c r="G769" s="1">
        <v>2</v>
      </c>
      <c r="H769" s="1">
        <v>57067.29</v>
      </c>
      <c r="I769" s="1">
        <v>0</v>
      </c>
      <c r="J769" s="1">
        <v>2497.39</v>
      </c>
      <c r="K769" s="1" t="s">
        <v>8</v>
      </c>
    </row>
    <row r="770" spans="1:11" ht="15" customHeight="1" x14ac:dyDescent="0.25">
      <c r="A770" s="1">
        <v>10769</v>
      </c>
      <c r="B770" s="2">
        <v>45760</v>
      </c>
      <c r="C770" s="1" t="s">
        <v>25</v>
      </c>
      <c r="D770" s="1" t="s">
        <v>34</v>
      </c>
      <c r="E770" s="1" t="s">
        <v>10</v>
      </c>
      <c r="F770" s="1" t="s">
        <v>11</v>
      </c>
      <c r="G770" s="1">
        <v>5</v>
      </c>
      <c r="H770" s="1">
        <v>72598.23</v>
      </c>
      <c r="I770" s="1">
        <v>0.2</v>
      </c>
      <c r="J770" s="1">
        <v>9586.08</v>
      </c>
      <c r="K770" s="1" t="s">
        <v>10</v>
      </c>
    </row>
    <row r="771" spans="1:11" ht="15" customHeight="1" x14ac:dyDescent="0.25">
      <c r="A771" s="1">
        <v>10770</v>
      </c>
      <c r="B771" s="2">
        <v>45930</v>
      </c>
      <c r="C771" s="1" t="s">
        <v>22</v>
      </c>
      <c r="D771" s="1" t="s">
        <v>40</v>
      </c>
      <c r="E771" s="1" t="s">
        <v>10</v>
      </c>
      <c r="F771" s="1" t="s">
        <v>11</v>
      </c>
      <c r="G771" s="1">
        <v>1</v>
      </c>
      <c r="H771" s="1">
        <v>33260.67</v>
      </c>
      <c r="I771" s="1">
        <v>0.05</v>
      </c>
      <c r="J771" s="1">
        <v>8875.6299999999992</v>
      </c>
      <c r="K771" s="1" t="s">
        <v>10</v>
      </c>
    </row>
    <row r="772" spans="1:11" ht="15" customHeight="1" x14ac:dyDescent="0.25">
      <c r="A772" s="1">
        <v>10771</v>
      </c>
      <c r="B772" s="2">
        <v>45671</v>
      </c>
      <c r="C772" s="1" t="s">
        <v>21</v>
      </c>
      <c r="D772" s="1" t="s">
        <v>35</v>
      </c>
      <c r="E772" s="1" t="s">
        <v>10</v>
      </c>
      <c r="F772" s="1" t="s">
        <v>13</v>
      </c>
      <c r="G772" s="1">
        <v>4</v>
      </c>
      <c r="H772" s="1">
        <v>21238.45</v>
      </c>
      <c r="I772" s="1">
        <v>0.25</v>
      </c>
      <c r="J772" s="1">
        <v>812.34</v>
      </c>
      <c r="K772" s="1" t="s">
        <v>10</v>
      </c>
    </row>
    <row r="773" spans="1:11" ht="15" customHeight="1" x14ac:dyDescent="0.25">
      <c r="A773" s="1">
        <v>10772</v>
      </c>
      <c r="B773" s="2">
        <v>45816</v>
      </c>
      <c r="C773" s="1" t="s">
        <v>19</v>
      </c>
      <c r="D773" s="1" t="s">
        <v>35</v>
      </c>
      <c r="E773" s="1" t="s">
        <v>10</v>
      </c>
      <c r="F773" s="1" t="s">
        <v>12</v>
      </c>
      <c r="G773" s="1">
        <v>3</v>
      </c>
      <c r="H773" s="1">
        <v>59972.84</v>
      </c>
      <c r="I773" s="1">
        <v>0.1</v>
      </c>
      <c r="J773" s="1">
        <v>4677.32</v>
      </c>
      <c r="K773" s="1" t="s">
        <v>10</v>
      </c>
    </row>
    <row r="774" spans="1:11" ht="15" customHeight="1" x14ac:dyDescent="0.25">
      <c r="A774" s="1">
        <v>10773</v>
      </c>
      <c r="B774" s="2">
        <v>45809</v>
      </c>
      <c r="C774" s="1" t="s">
        <v>22</v>
      </c>
      <c r="D774" s="1" t="s">
        <v>40</v>
      </c>
      <c r="E774" s="1" t="s">
        <v>10</v>
      </c>
      <c r="F774" s="1" t="s">
        <v>13</v>
      </c>
      <c r="G774" s="1">
        <v>1</v>
      </c>
      <c r="H774" s="1">
        <v>24805.919999999998</v>
      </c>
      <c r="I774" s="1">
        <v>0.15</v>
      </c>
      <c r="J774" s="1">
        <v>3429.05</v>
      </c>
      <c r="K774" s="1" t="s">
        <v>10</v>
      </c>
    </row>
    <row r="775" spans="1:11" ht="15" customHeight="1" x14ac:dyDescent="0.25">
      <c r="A775" s="1">
        <v>10774</v>
      </c>
      <c r="B775" s="2">
        <v>45765</v>
      </c>
      <c r="C775" s="1" t="s">
        <v>23</v>
      </c>
      <c r="D775" s="1" t="s">
        <v>34</v>
      </c>
      <c r="E775" s="1" t="s">
        <v>10</v>
      </c>
      <c r="F775" s="1" t="s">
        <v>12</v>
      </c>
      <c r="G775" s="1">
        <v>7</v>
      </c>
      <c r="H775" s="1">
        <v>22804.06</v>
      </c>
      <c r="I775" s="1">
        <v>0</v>
      </c>
      <c r="J775" s="1">
        <v>3688.66</v>
      </c>
      <c r="K775" s="1" t="s">
        <v>10</v>
      </c>
    </row>
    <row r="776" spans="1:11" ht="15" customHeight="1" x14ac:dyDescent="0.25">
      <c r="A776" s="1">
        <v>10775</v>
      </c>
      <c r="B776" s="2">
        <v>45845</v>
      </c>
      <c r="C776" s="1" t="s">
        <v>21</v>
      </c>
      <c r="D776" s="1" t="s">
        <v>38</v>
      </c>
      <c r="E776" s="1" t="s">
        <v>10</v>
      </c>
      <c r="F776" s="1" t="s">
        <v>11</v>
      </c>
      <c r="G776" s="1">
        <v>2</v>
      </c>
      <c r="H776" s="1">
        <v>17821.7</v>
      </c>
      <c r="I776" s="1">
        <v>0</v>
      </c>
      <c r="J776" s="1">
        <v>11796.22</v>
      </c>
      <c r="K776" s="1" t="s">
        <v>10</v>
      </c>
    </row>
    <row r="777" spans="1:11" ht="15" customHeight="1" x14ac:dyDescent="0.25">
      <c r="A777" s="1">
        <v>10776</v>
      </c>
      <c r="B777" s="2">
        <v>45958</v>
      </c>
      <c r="C777" s="1" t="s">
        <v>20</v>
      </c>
      <c r="D777" s="1" t="s">
        <v>35</v>
      </c>
      <c r="E777" s="1" t="s">
        <v>10</v>
      </c>
      <c r="F777" s="1" t="s">
        <v>9</v>
      </c>
      <c r="G777" s="1">
        <v>7</v>
      </c>
      <c r="H777" s="1">
        <v>10161.08</v>
      </c>
      <c r="I777" s="1">
        <v>0.15</v>
      </c>
      <c r="J777" s="1">
        <v>7731.19</v>
      </c>
      <c r="K777" s="1" t="s">
        <v>10</v>
      </c>
    </row>
    <row r="778" spans="1:11" ht="15" customHeight="1" x14ac:dyDescent="0.25">
      <c r="A778" s="1">
        <v>10777</v>
      </c>
      <c r="B778" s="2">
        <v>45755</v>
      </c>
      <c r="C778" s="1" t="s">
        <v>17</v>
      </c>
      <c r="D778" s="1" t="s">
        <v>40</v>
      </c>
      <c r="E778" s="1" t="s">
        <v>10</v>
      </c>
      <c r="F778" s="1" t="s">
        <v>12</v>
      </c>
      <c r="G778" s="1">
        <v>7</v>
      </c>
      <c r="H778" s="1">
        <v>19606.5</v>
      </c>
      <c r="I778" s="1">
        <v>0.2</v>
      </c>
      <c r="J778" s="1">
        <v>8626.23</v>
      </c>
      <c r="K778" s="1" t="s">
        <v>10</v>
      </c>
    </row>
    <row r="779" spans="1:11" ht="15" customHeight="1" x14ac:dyDescent="0.25">
      <c r="A779" s="1">
        <v>10778</v>
      </c>
      <c r="B779" s="2">
        <v>45788</v>
      </c>
      <c r="C779" s="1" t="s">
        <v>18</v>
      </c>
      <c r="D779" s="1" t="s">
        <v>37</v>
      </c>
      <c r="E779" s="1" t="s">
        <v>8</v>
      </c>
      <c r="F779" s="1" t="s">
        <v>11</v>
      </c>
      <c r="G779" s="1">
        <v>5</v>
      </c>
      <c r="H779" s="1">
        <v>26971.32</v>
      </c>
      <c r="I779" s="1">
        <v>0.15</v>
      </c>
      <c r="J779" s="1">
        <v>11720.58</v>
      </c>
      <c r="K779" s="1" t="s">
        <v>8</v>
      </c>
    </row>
    <row r="780" spans="1:11" ht="15" customHeight="1" x14ac:dyDescent="0.25">
      <c r="A780" s="1">
        <v>10779</v>
      </c>
      <c r="B780" s="2">
        <v>45950</v>
      </c>
      <c r="C780" s="1" t="s">
        <v>25</v>
      </c>
      <c r="D780" s="1" t="s">
        <v>37</v>
      </c>
      <c r="E780" s="1" t="s">
        <v>8</v>
      </c>
      <c r="F780" s="1" t="s">
        <v>13</v>
      </c>
      <c r="G780" s="1">
        <v>5</v>
      </c>
      <c r="H780" s="1">
        <v>50712.57</v>
      </c>
      <c r="I780" s="1">
        <v>0.05</v>
      </c>
      <c r="J780" s="1">
        <v>4557.5600000000004</v>
      </c>
      <c r="K780" s="1" t="s">
        <v>8</v>
      </c>
    </row>
    <row r="781" spans="1:11" ht="15" customHeight="1" x14ac:dyDescent="0.25">
      <c r="A781" s="1">
        <v>10780</v>
      </c>
      <c r="B781" s="2">
        <v>45828</v>
      </c>
      <c r="C781" s="1" t="s">
        <v>25</v>
      </c>
      <c r="D781" s="1" t="s">
        <v>36</v>
      </c>
      <c r="E781" s="1" t="s">
        <v>10</v>
      </c>
      <c r="F781" s="1" t="s">
        <v>12</v>
      </c>
      <c r="G781" s="1">
        <v>3</v>
      </c>
      <c r="H781" s="1">
        <v>5161.08</v>
      </c>
      <c r="I781" s="1">
        <v>0.15</v>
      </c>
      <c r="J781" s="1">
        <v>9631.99</v>
      </c>
      <c r="K781" s="1" t="s">
        <v>10</v>
      </c>
    </row>
    <row r="782" spans="1:11" ht="15" customHeight="1" x14ac:dyDescent="0.25">
      <c r="A782" s="1">
        <v>10781</v>
      </c>
      <c r="B782" s="2">
        <v>45840</v>
      </c>
      <c r="C782" s="1" t="s">
        <v>17</v>
      </c>
      <c r="D782" s="1" t="s">
        <v>40</v>
      </c>
      <c r="E782" s="1" t="s">
        <v>10</v>
      </c>
      <c r="F782" s="1" t="s">
        <v>9</v>
      </c>
      <c r="G782" s="1">
        <v>5</v>
      </c>
      <c r="H782" s="1">
        <v>16182.77</v>
      </c>
      <c r="I782" s="1">
        <v>0</v>
      </c>
      <c r="J782" s="1">
        <v>5242.6499999999996</v>
      </c>
      <c r="K782" s="1" t="s">
        <v>10</v>
      </c>
    </row>
    <row r="783" spans="1:11" ht="15" customHeight="1" x14ac:dyDescent="0.25">
      <c r="A783" s="1">
        <v>10782</v>
      </c>
      <c r="B783" s="2">
        <v>46021</v>
      </c>
      <c r="C783" s="1" t="s">
        <v>18</v>
      </c>
      <c r="D783" s="1" t="s">
        <v>36</v>
      </c>
      <c r="E783" s="1" t="s">
        <v>10</v>
      </c>
      <c r="F783" s="1" t="s">
        <v>13</v>
      </c>
      <c r="G783" s="1">
        <v>5</v>
      </c>
      <c r="H783" s="1">
        <v>60772.26</v>
      </c>
      <c r="I783" s="1">
        <v>0.15</v>
      </c>
      <c r="J783" s="1">
        <v>10440.93</v>
      </c>
      <c r="K783" s="1" t="s">
        <v>10</v>
      </c>
    </row>
    <row r="784" spans="1:11" ht="15" customHeight="1" x14ac:dyDescent="0.25">
      <c r="A784" s="1">
        <v>10783</v>
      </c>
      <c r="B784" s="2">
        <v>45696</v>
      </c>
      <c r="C784" s="1" t="s">
        <v>17</v>
      </c>
      <c r="D784" s="1" t="s">
        <v>37</v>
      </c>
      <c r="E784" s="1" t="s">
        <v>8</v>
      </c>
      <c r="F784" s="1" t="s">
        <v>13</v>
      </c>
      <c r="G784" s="1">
        <v>1</v>
      </c>
      <c r="H784" s="1">
        <v>11445.68</v>
      </c>
      <c r="I784" s="1">
        <v>0.1</v>
      </c>
      <c r="J784" s="1">
        <v>2208.86</v>
      </c>
      <c r="K784" s="1" t="s">
        <v>8</v>
      </c>
    </row>
    <row r="785" spans="1:11" ht="15" customHeight="1" x14ac:dyDescent="0.25">
      <c r="A785" s="1">
        <v>10784</v>
      </c>
      <c r="B785" s="2">
        <v>45672</v>
      </c>
      <c r="C785" s="1" t="s">
        <v>20</v>
      </c>
      <c r="D785" s="1" t="s">
        <v>34</v>
      </c>
      <c r="E785" s="1" t="s">
        <v>10</v>
      </c>
      <c r="F785" s="1" t="s">
        <v>11</v>
      </c>
      <c r="G785" s="1">
        <v>4</v>
      </c>
      <c r="H785" s="1">
        <v>26027.06</v>
      </c>
      <c r="I785" s="1">
        <v>0.25</v>
      </c>
      <c r="J785" s="1">
        <v>11374.85</v>
      </c>
      <c r="K785" s="1" t="s">
        <v>10</v>
      </c>
    </row>
    <row r="786" spans="1:11" ht="15" customHeight="1" x14ac:dyDescent="0.25">
      <c r="A786" s="1">
        <v>10785</v>
      </c>
      <c r="B786" s="2">
        <v>45661</v>
      </c>
      <c r="C786" s="1" t="s">
        <v>23</v>
      </c>
      <c r="D786" s="1" t="s">
        <v>38</v>
      </c>
      <c r="E786" s="1" t="s">
        <v>10</v>
      </c>
      <c r="F786" s="1" t="s">
        <v>12</v>
      </c>
      <c r="G786" s="1">
        <v>3</v>
      </c>
      <c r="H786" s="1">
        <v>64917.09</v>
      </c>
      <c r="I786" s="1">
        <v>0.05</v>
      </c>
      <c r="J786" s="1">
        <v>2664.32</v>
      </c>
      <c r="K786" s="1" t="s">
        <v>10</v>
      </c>
    </row>
    <row r="787" spans="1:11" ht="15" customHeight="1" x14ac:dyDescent="0.25">
      <c r="A787" s="1">
        <v>10786</v>
      </c>
      <c r="B787" s="2">
        <v>46006</v>
      </c>
      <c r="C787" s="1" t="s">
        <v>21</v>
      </c>
      <c r="D787" s="1" t="s">
        <v>40</v>
      </c>
      <c r="E787" s="1" t="s">
        <v>10</v>
      </c>
      <c r="F787" s="1" t="s">
        <v>13</v>
      </c>
      <c r="G787" s="1">
        <v>1</v>
      </c>
      <c r="H787" s="1">
        <v>12041.94</v>
      </c>
      <c r="I787" s="1">
        <v>0.15</v>
      </c>
      <c r="J787" s="1">
        <v>3948.34</v>
      </c>
      <c r="K787" s="1" t="s">
        <v>10</v>
      </c>
    </row>
    <row r="788" spans="1:11" ht="15" customHeight="1" x14ac:dyDescent="0.25">
      <c r="A788" s="1">
        <v>10787</v>
      </c>
      <c r="B788" s="2">
        <v>45867</v>
      </c>
      <c r="C788" s="1" t="s">
        <v>22</v>
      </c>
      <c r="D788" s="1" t="s">
        <v>33</v>
      </c>
      <c r="E788" s="1" t="s">
        <v>8</v>
      </c>
      <c r="F788" s="1" t="s">
        <v>9</v>
      </c>
      <c r="G788" s="1">
        <v>4</v>
      </c>
      <c r="H788" s="1">
        <v>6663.89</v>
      </c>
      <c r="I788" s="1">
        <v>0</v>
      </c>
      <c r="J788" s="1">
        <v>9086.5</v>
      </c>
      <c r="K788" s="1" t="s">
        <v>8</v>
      </c>
    </row>
    <row r="789" spans="1:11" ht="15" customHeight="1" x14ac:dyDescent="0.25">
      <c r="A789" s="1">
        <v>10788</v>
      </c>
      <c r="B789" s="2">
        <v>45818</v>
      </c>
      <c r="C789" s="1" t="s">
        <v>25</v>
      </c>
      <c r="D789" s="1" t="s">
        <v>37</v>
      </c>
      <c r="E789" s="1" t="s">
        <v>8</v>
      </c>
      <c r="F789" s="1" t="s">
        <v>12</v>
      </c>
      <c r="G789" s="1">
        <v>7</v>
      </c>
      <c r="H789" s="1">
        <v>36598.080000000002</v>
      </c>
      <c r="I789" s="1">
        <v>0.25</v>
      </c>
      <c r="J789" s="1">
        <v>4755.37</v>
      </c>
      <c r="K789" s="1" t="s">
        <v>8</v>
      </c>
    </row>
    <row r="790" spans="1:11" ht="15" customHeight="1" x14ac:dyDescent="0.25">
      <c r="A790" s="1">
        <v>10789</v>
      </c>
      <c r="B790" s="2">
        <v>45673</v>
      </c>
      <c r="C790" s="1" t="s">
        <v>20</v>
      </c>
      <c r="D790" s="1" t="s">
        <v>37</v>
      </c>
      <c r="E790" s="1" t="s">
        <v>8</v>
      </c>
      <c r="F790" s="1" t="s">
        <v>9</v>
      </c>
      <c r="G790" s="1">
        <v>1</v>
      </c>
      <c r="H790" s="1">
        <v>23030.25</v>
      </c>
      <c r="I790" s="1">
        <v>0.05</v>
      </c>
      <c r="J790" s="1">
        <v>7318.13</v>
      </c>
      <c r="K790" s="1" t="s">
        <v>8</v>
      </c>
    </row>
    <row r="791" spans="1:11" ht="15" customHeight="1" x14ac:dyDescent="0.25">
      <c r="A791" s="1">
        <v>10790</v>
      </c>
      <c r="B791" s="2">
        <v>45765</v>
      </c>
      <c r="C791" s="1" t="s">
        <v>21</v>
      </c>
      <c r="D791" s="1" t="s">
        <v>33</v>
      </c>
      <c r="E791" s="1" t="s">
        <v>8</v>
      </c>
      <c r="F791" s="1" t="s">
        <v>13</v>
      </c>
      <c r="G791" s="1">
        <v>6</v>
      </c>
      <c r="H791" s="1">
        <v>42473.919999999998</v>
      </c>
      <c r="I791" s="1">
        <v>0</v>
      </c>
      <c r="J791" s="1">
        <v>5362.65</v>
      </c>
      <c r="K791" s="1" t="s">
        <v>8</v>
      </c>
    </row>
    <row r="792" spans="1:11" ht="15" customHeight="1" x14ac:dyDescent="0.25">
      <c r="A792" s="1">
        <v>10791</v>
      </c>
      <c r="B792" s="2">
        <v>45968</v>
      </c>
      <c r="C792" s="1" t="s">
        <v>20</v>
      </c>
      <c r="D792" s="1" t="s">
        <v>39</v>
      </c>
      <c r="E792" s="1" t="s">
        <v>10</v>
      </c>
      <c r="F792" s="1" t="s">
        <v>9</v>
      </c>
      <c r="G792" s="1">
        <v>1</v>
      </c>
      <c r="H792" s="1">
        <v>60383.46</v>
      </c>
      <c r="I792" s="1">
        <v>0.2</v>
      </c>
      <c r="J792" s="1">
        <v>8921.32</v>
      </c>
      <c r="K792" s="1" t="s">
        <v>10</v>
      </c>
    </row>
    <row r="793" spans="1:11" ht="15" customHeight="1" x14ac:dyDescent="0.25">
      <c r="A793" s="1">
        <v>10792</v>
      </c>
      <c r="B793" s="2">
        <v>45884</v>
      </c>
      <c r="C793" s="1" t="s">
        <v>18</v>
      </c>
      <c r="D793" s="1" t="s">
        <v>37</v>
      </c>
      <c r="E793" s="1" t="s">
        <v>8</v>
      </c>
      <c r="F793" s="1" t="s">
        <v>11</v>
      </c>
      <c r="G793" s="1">
        <v>5</v>
      </c>
      <c r="H793" s="1">
        <v>10717.56</v>
      </c>
      <c r="I793" s="1">
        <v>0.1</v>
      </c>
      <c r="J793" s="1">
        <v>2778.56</v>
      </c>
      <c r="K793" s="1" t="s">
        <v>8</v>
      </c>
    </row>
    <row r="794" spans="1:11" ht="15" customHeight="1" x14ac:dyDescent="0.25">
      <c r="A794" s="1">
        <v>10793</v>
      </c>
      <c r="B794" s="2">
        <v>45827</v>
      </c>
      <c r="C794" s="1" t="s">
        <v>25</v>
      </c>
      <c r="D794" s="1" t="s">
        <v>35</v>
      </c>
      <c r="E794" s="1" t="s">
        <v>10</v>
      </c>
      <c r="F794" s="1" t="s">
        <v>9</v>
      </c>
      <c r="G794" s="1">
        <v>4</v>
      </c>
      <c r="H794" s="1">
        <v>43762.080000000002</v>
      </c>
      <c r="I794" s="1">
        <v>0.2</v>
      </c>
      <c r="J794" s="1">
        <v>748.57</v>
      </c>
      <c r="K794" s="1" t="s">
        <v>10</v>
      </c>
    </row>
    <row r="795" spans="1:11" ht="15" customHeight="1" x14ac:dyDescent="0.25">
      <c r="A795" s="1">
        <v>10794</v>
      </c>
      <c r="B795" s="2">
        <v>45691</v>
      </c>
      <c r="C795" s="1" t="s">
        <v>22</v>
      </c>
      <c r="D795" s="1" t="s">
        <v>34</v>
      </c>
      <c r="E795" s="1" t="s">
        <v>10</v>
      </c>
      <c r="F795" s="1" t="s">
        <v>12</v>
      </c>
      <c r="G795" s="1">
        <v>3</v>
      </c>
      <c r="H795" s="1">
        <v>38160.400000000001</v>
      </c>
      <c r="I795" s="1">
        <v>0.1</v>
      </c>
      <c r="J795" s="1">
        <v>3634.16</v>
      </c>
      <c r="K795" s="1" t="s">
        <v>10</v>
      </c>
    </row>
    <row r="796" spans="1:11" ht="15" customHeight="1" x14ac:dyDescent="0.25">
      <c r="A796" s="1">
        <v>10795</v>
      </c>
      <c r="B796" s="2">
        <v>45908</v>
      </c>
      <c r="C796" s="1" t="s">
        <v>17</v>
      </c>
      <c r="D796" s="1" t="s">
        <v>40</v>
      </c>
      <c r="E796" s="1" t="s">
        <v>10</v>
      </c>
      <c r="F796" s="1" t="s">
        <v>9</v>
      </c>
      <c r="G796" s="1">
        <v>3</v>
      </c>
      <c r="H796" s="1">
        <v>11233.87</v>
      </c>
      <c r="I796" s="1">
        <v>0.15</v>
      </c>
      <c r="J796" s="1">
        <v>5717.99</v>
      </c>
      <c r="K796" s="1" t="s">
        <v>10</v>
      </c>
    </row>
    <row r="797" spans="1:11" ht="15" customHeight="1" x14ac:dyDescent="0.25">
      <c r="A797" s="1">
        <v>10796</v>
      </c>
      <c r="B797" s="2">
        <v>45904</v>
      </c>
      <c r="C797" s="1" t="s">
        <v>17</v>
      </c>
      <c r="D797" s="1" t="s">
        <v>33</v>
      </c>
      <c r="E797" s="1" t="s">
        <v>8</v>
      </c>
      <c r="F797" s="1" t="s">
        <v>9</v>
      </c>
      <c r="G797" s="1">
        <v>4</v>
      </c>
      <c r="H797" s="1">
        <v>46987.89</v>
      </c>
      <c r="I797" s="1">
        <v>0.05</v>
      </c>
      <c r="J797" s="1">
        <v>2057.84</v>
      </c>
      <c r="K797" s="1" t="s">
        <v>8</v>
      </c>
    </row>
    <row r="798" spans="1:11" ht="15" customHeight="1" x14ac:dyDescent="0.25">
      <c r="A798" s="1">
        <v>10797</v>
      </c>
      <c r="B798" s="2">
        <v>45926</v>
      </c>
      <c r="C798" s="1" t="s">
        <v>21</v>
      </c>
      <c r="D798" s="1" t="s">
        <v>35</v>
      </c>
      <c r="E798" s="1" t="s">
        <v>10</v>
      </c>
      <c r="F798" s="1" t="s">
        <v>11</v>
      </c>
      <c r="G798" s="1">
        <v>5</v>
      </c>
      <c r="H798" s="1">
        <v>20886.21</v>
      </c>
      <c r="I798" s="1">
        <v>0.15</v>
      </c>
      <c r="J798" s="1">
        <v>4289.83</v>
      </c>
      <c r="K798" s="1" t="s">
        <v>10</v>
      </c>
    </row>
    <row r="799" spans="1:11" ht="15" customHeight="1" x14ac:dyDescent="0.25">
      <c r="A799" s="1">
        <v>10798</v>
      </c>
      <c r="B799" s="2">
        <v>45798</v>
      </c>
      <c r="C799" s="1" t="s">
        <v>22</v>
      </c>
      <c r="D799" s="1" t="s">
        <v>33</v>
      </c>
      <c r="E799" s="1" t="s">
        <v>8</v>
      </c>
      <c r="F799" s="1" t="s">
        <v>9</v>
      </c>
      <c r="G799" s="1">
        <v>2</v>
      </c>
      <c r="H799" s="1">
        <v>36843.660000000003</v>
      </c>
      <c r="I799" s="1">
        <v>0.1</v>
      </c>
      <c r="J799" s="1">
        <v>4829.8</v>
      </c>
      <c r="K799" s="1" t="s">
        <v>8</v>
      </c>
    </row>
    <row r="800" spans="1:11" ht="15" customHeight="1" x14ac:dyDescent="0.25">
      <c r="A800" s="1">
        <v>10799</v>
      </c>
      <c r="B800" s="2">
        <v>45931</v>
      </c>
      <c r="C800" s="1" t="s">
        <v>23</v>
      </c>
      <c r="D800" s="1" t="s">
        <v>40</v>
      </c>
      <c r="E800" s="1" t="s">
        <v>10</v>
      </c>
      <c r="F800" s="1" t="s">
        <v>9</v>
      </c>
      <c r="G800" s="1">
        <v>1</v>
      </c>
      <c r="H800" s="1">
        <v>6629.29</v>
      </c>
      <c r="I800" s="1">
        <v>0.1</v>
      </c>
      <c r="J800" s="1">
        <v>735.83</v>
      </c>
      <c r="K800" s="1" t="s">
        <v>10</v>
      </c>
    </row>
    <row r="801" spans="1:11" ht="15" customHeight="1" x14ac:dyDescent="0.25">
      <c r="A801" s="1">
        <v>10800</v>
      </c>
      <c r="B801" s="2">
        <v>45753</v>
      </c>
      <c r="C801" s="1" t="s">
        <v>19</v>
      </c>
      <c r="D801" s="1" t="s">
        <v>36</v>
      </c>
      <c r="E801" s="1" t="s">
        <v>10</v>
      </c>
      <c r="F801" s="1" t="s">
        <v>13</v>
      </c>
      <c r="G801" s="1">
        <v>5</v>
      </c>
      <c r="H801" s="1">
        <v>34739.01</v>
      </c>
      <c r="I801" s="1">
        <v>0.1</v>
      </c>
      <c r="J801" s="1">
        <v>7020.52</v>
      </c>
      <c r="K801" s="1" t="s">
        <v>10</v>
      </c>
    </row>
    <row r="802" spans="1:11" ht="15" customHeight="1" x14ac:dyDescent="0.25">
      <c r="A802" s="1">
        <v>10801</v>
      </c>
      <c r="B802" s="2">
        <v>45884</v>
      </c>
      <c r="C802" s="1" t="s">
        <v>18</v>
      </c>
      <c r="D802" s="1" t="s">
        <v>40</v>
      </c>
      <c r="E802" s="1" t="s">
        <v>10</v>
      </c>
      <c r="F802" s="1" t="s">
        <v>13</v>
      </c>
      <c r="G802" s="1">
        <v>6</v>
      </c>
      <c r="H802" s="1">
        <v>23331.53</v>
      </c>
      <c r="I802" s="1">
        <v>0.25</v>
      </c>
      <c r="J802" s="1">
        <v>10617.9</v>
      </c>
      <c r="K802" s="1" t="s">
        <v>10</v>
      </c>
    </row>
    <row r="803" spans="1:11" ht="15" customHeight="1" x14ac:dyDescent="0.25">
      <c r="A803" s="1">
        <v>10802</v>
      </c>
      <c r="B803" s="2">
        <v>45696</v>
      </c>
      <c r="C803" s="1" t="s">
        <v>21</v>
      </c>
      <c r="D803" s="1" t="s">
        <v>39</v>
      </c>
      <c r="E803" s="1" t="s">
        <v>10</v>
      </c>
      <c r="F803" s="1" t="s">
        <v>12</v>
      </c>
      <c r="G803" s="1">
        <v>7</v>
      </c>
      <c r="H803" s="1">
        <v>61767.4</v>
      </c>
      <c r="I803" s="1">
        <v>0</v>
      </c>
      <c r="J803" s="1">
        <v>1863.33</v>
      </c>
      <c r="K803" s="1" t="s">
        <v>10</v>
      </c>
    </row>
    <row r="804" spans="1:11" ht="15" customHeight="1" x14ac:dyDescent="0.25">
      <c r="A804" s="1">
        <v>10803</v>
      </c>
      <c r="B804" s="2">
        <v>45959</v>
      </c>
      <c r="C804" s="1" t="s">
        <v>19</v>
      </c>
      <c r="D804" s="1" t="s">
        <v>40</v>
      </c>
      <c r="E804" s="1" t="s">
        <v>10</v>
      </c>
      <c r="F804" s="1" t="s">
        <v>13</v>
      </c>
      <c r="G804" s="1">
        <v>4</v>
      </c>
      <c r="H804" s="1">
        <v>4744.92</v>
      </c>
      <c r="I804" s="1">
        <v>0.05</v>
      </c>
      <c r="J804" s="1">
        <v>7193.81</v>
      </c>
      <c r="K804" s="1" t="s">
        <v>10</v>
      </c>
    </row>
    <row r="805" spans="1:11" ht="15" customHeight="1" x14ac:dyDescent="0.25">
      <c r="A805" s="1">
        <v>10804</v>
      </c>
      <c r="B805" s="2">
        <v>45686</v>
      </c>
      <c r="C805" s="1" t="s">
        <v>20</v>
      </c>
      <c r="D805" s="1" t="s">
        <v>40</v>
      </c>
      <c r="E805" s="1" t="s">
        <v>10</v>
      </c>
      <c r="F805" s="1" t="s">
        <v>13</v>
      </c>
      <c r="G805" s="1">
        <v>1</v>
      </c>
      <c r="H805" s="1">
        <v>31686.240000000002</v>
      </c>
      <c r="I805" s="1">
        <v>0.15</v>
      </c>
      <c r="J805" s="1">
        <v>7993.63</v>
      </c>
      <c r="K805" s="1" t="s">
        <v>10</v>
      </c>
    </row>
    <row r="806" spans="1:11" ht="15" customHeight="1" x14ac:dyDescent="0.25">
      <c r="A806" s="1">
        <v>10805</v>
      </c>
      <c r="B806" s="2">
        <v>45975</v>
      </c>
      <c r="C806" s="1" t="s">
        <v>18</v>
      </c>
      <c r="D806" s="1" t="s">
        <v>39</v>
      </c>
      <c r="E806" s="1" t="s">
        <v>10</v>
      </c>
      <c r="F806" s="1" t="s">
        <v>13</v>
      </c>
      <c r="G806" s="1">
        <v>3</v>
      </c>
      <c r="H806" s="1">
        <v>34653.14</v>
      </c>
      <c r="I806" s="1">
        <v>0.15</v>
      </c>
      <c r="J806" s="1">
        <v>5061.05</v>
      </c>
      <c r="K806" s="1" t="s">
        <v>10</v>
      </c>
    </row>
    <row r="807" spans="1:11" ht="15" customHeight="1" x14ac:dyDescent="0.25">
      <c r="A807" s="1">
        <v>10806</v>
      </c>
      <c r="B807" s="2">
        <v>45902</v>
      </c>
      <c r="C807" s="1" t="s">
        <v>20</v>
      </c>
      <c r="D807" s="1" t="s">
        <v>34</v>
      </c>
      <c r="E807" s="1" t="s">
        <v>10</v>
      </c>
      <c r="F807" s="1" t="s">
        <v>13</v>
      </c>
      <c r="G807" s="1">
        <v>7</v>
      </c>
      <c r="H807" s="1">
        <v>54512.95</v>
      </c>
      <c r="I807" s="1">
        <v>0.2</v>
      </c>
      <c r="J807" s="1">
        <v>8428.1200000000008</v>
      </c>
      <c r="K807" s="1" t="s">
        <v>10</v>
      </c>
    </row>
    <row r="808" spans="1:11" ht="15" customHeight="1" x14ac:dyDescent="0.25">
      <c r="A808" s="1">
        <v>10807</v>
      </c>
      <c r="B808" s="2">
        <v>45893</v>
      </c>
      <c r="C808" s="1" t="s">
        <v>23</v>
      </c>
      <c r="D808" s="1" t="s">
        <v>37</v>
      </c>
      <c r="E808" s="1" t="s">
        <v>8</v>
      </c>
      <c r="F808" s="1" t="s">
        <v>11</v>
      </c>
      <c r="G808" s="1">
        <v>2</v>
      </c>
      <c r="H808" s="1">
        <v>43284.42</v>
      </c>
      <c r="I808" s="1">
        <v>0.1</v>
      </c>
      <c r="J808" s="1">
        <v>4958.24</v>
      </c>
      <c r="K808" s="1" t="s">
        <v>8</v>
      </c>
    </row>
    <row r="809" spans="1:11" ht="15" customHeight="1" x14ac:dyDescent="0.25">
      <c r="A809" s="1">
        <v>10808</v>
      </c>
      <c r="B809" s="2">
        <v>45842</v>
      </c>
      <c r="C809" s="1" t="s">
        <v>22</v>
      </c>
      <c r="D809" s="1" t="s">
        <v>40</v>
      </c>
      <c r="E809" s="1" t="s">
        <v>10</v>
      </c>
      <c r="F809" s="1" t="s">
        <v>13</v>
      </c>
      <c r="G809" s="1">
        <v>6</v>
      </c>
      <c r="H809" s="1">
        <v>50207.32</v>
      </c>
      <c r="I809" s="1">
        <v>0.1</v>
      </c>
      <c r="J809" s="1">
        <v>6080.42</v>
      </c>
      <c r="K809" s="1" t="s">
        <v>10</v>
      </c>
    </row>
    <row r="810" spans="1:11" ht="15" customHeight="1" x14ac:dyDescent="0.25">
      <c r="A810" s="1">
        <v>10809</v>
      </c>
      <c r="B810" s="2">
        <v>45929</v>
      </c>
      <c r="C810" s="1" t="s">
        <v>25</v>
      </c>
      <c r="D810" s="1" t="s">
        <v>39</v>
      </c>
      <c r="E810" s="1" t="s">
        <v>10</v>
      </c>
      <c r="F810" s="1" t="s">
        <v>11</v>
      </c>
      <c r="G810" s="1">
        <v>3</v>
      </c>
      <c r="H810" s="1">
        <v>58390.17</v>
      </c>
      <c r="I810" s="1">
        <v>0.1</v>
      </c>
      <c r="J810" s="1">
        <v>137.87</v>
      </c>
      <c r="K810" s="1" t="s">
        <v>10</v>
      </c>
    </row>
    <row r="811" spans="1:11" ht="15" customHeight="1" x14ac:dyDescent="0.25">
      <c r="A811" s="1">
        <v>10810</v>
      </c>
      <c r="B811" s="2">
        <v>45893</v>
      </c>
      <c r="C811" s="1" t="s">
        <v>18</v>
      </c>
      <c r="D811" s="1" t="s">
        <v>35</v>
      </c>
      <c r="E811" s="1" t="s">
        <v>10</v>
      </c>
      <c r="F811" s="1" t="s">
        <v>11</v>
      </c>
      <c r="G811" s="1">
        <v>4</v>
      </c>
      <c r="H811" s="1">
        <v>64734.12</v>
      </c>
      <c r="I811" s="1">
        <v>0.15</v>
      </c>
      <c r="J811" s="1">
        <v>8316.06</v>
      </c>
      <c r="K811" s="1" t="s">
        <v>10</v>
      </c>
    </row>
    <row r="812" spans="1:11" ht="15" customHeight="1" x14ac:dyDescent="0.25">
      <c r="A812" s="1">
        <v>10811</v>
      </c>
      <c r="B812" s="2">
        <v>45896</v>
      </c>
      <c r="C812" s="1" t="s">
        <v>19</v>
      </c>
      <c r="D812" s="1" t="s">
        <v>36</v>
      </c>
      <c r="E812" s="1" t="s">
        <v>10</v>
      </c>
      <c r="F812" s="1" t="s">
        <v>13</v>
      </c>
      <c r="G812" s="1">
        <v>1</v>
      </c>
      <c r="H812" s="1">
        <v>23883.72</v>
      </c>
      <c r="I812" s="1">
        <v>0.2</v>
      </c>
      <c r="J812" s="1">
        <v>7953.05</v>
      </c>
      <c r="K812" s="1" t="s">
        <v>10</v>
      </c>
    </row>
    <row r="813" spans="1:11" ht="15" customHeight="1" x14ac:dyDescent="0.25">
      <c r="A813" s="1">
        <v>10812</v>
      </c>
      <c r="B813" s="2">
        <v>45923</v>
      </c>
      <c r="C813" s="1" t="s">
        <v>23</v>
      </c>
      <c r="D813" s="1" t="s">
        <v>36</v>
      </c>
      <c r="E813" s="1" t="s">
        <v>10</v>
      </c>
      <c r="F813" s="1" t="s">
        <v>9</v>
      </c>
      <c r="G813" s="1">
        <v>4</v>
      </c>
      <c r="H813" s="1">
        <v>40582.69</v>
      </c>
      <c r="I813" s="1">
        <v>0</v>
      </c>
      <c r="J813" s="1">
        <v>508.89</v>
      </c>
      <c r="K813" s="1" t="s">
        <v>10</v>
      </c>
    </row>
    <row r="814" spans="1:11" ht="15" customHeight="1" x14ac:dyDescent="0.25">
      <c r="A814" s="1">
        <v>10813</v>
      </c>
      <c r="B814" s="2">
        <v>46016</v>
      </c>
      <c r="C814" s="1" t="s">
        <v>25</v>
      </c>
      <c r="D814" s="1" t="s">
        <v>40</v>
      </c>
      <c r="E814" s="1" t="s">
        <v>10</v>
      </c>
      <c r="F814" s="1" t="s">
        <v>11</v>
      </c>
      <c r="G814" s="1">
        <v>7</v>
      </c>
      <c r="H814" s="1">
        <v>63088.05</v>
      </c>
      <c r="I814" s="1">
        <v>0.25</v>
      </c>
      <c r="J814" s="1">
        <v>4450.59</v>
      </c>
      <c r="K814" s="1" t="s">
        <v>10</v>
      </c>
    </row>
    <row r="815" spans="1:11" ht="15" customHeight="1" x14ac:dyDescent="0.25">
      <c r="A815" s="1">
        <v>10814</v>
      </c>
      <c r="B815" s="2">
        <v>45997</v>
      </c>
      <c r="C815" s="1" t="s">
        <v>17</v>
      </c>
      <c r="D815" s="1" t="s">
        <v>34</v>
      </c>
      <c r="E815" s="1" t="s">
        <v>10</v>
      </c>
      <c r="F815" s="1" t="s">
        <v>9</v>
      </c>
      <c r="G815" s="1">
        <v>1</v>
      </c>
      <c r="H815" s="1">
        <v>74214.11</v>
      </c>
      <c r="I815" s="1">
        <v>0.05</v>
      </c>
      <c r="J815" s="1">
        <v>11749.43</v>
      </c>
      <c r="K815" s="1" t="s">
        <v>10</v>
      </c>
    </row>
    <row r="816" spans="1:11" ht="15" customHeight="1" x14ac:dyDescent="0.25">
      <c r="A816" s="1">
        <v>10815</v>
      </c>
      <c r="B816" s="2">
        <v>45722</v>
      </c>
      <c r="C816" s="1" t="s">
        <v>19</v>
      </c>
      <c r="D816" s="1" t="s">
        <v>34</v>
      </c>
      <c r="E816" s="1" t="s">
        <v>10</v>
      </c>
      <c r="F816" s="1" t="s">
        <v>9</v>
      </c>
      <c r="G816" s="1">
        <v>5</v>
      </c>
      <c r="H816" s="1">
        <v>66769.19</v>
      </c>
      <c r="I816" s="1">
        <v>0</v>
      </c>
      <c r="J816" s="1">
        <v>5077.8</v>
      </c>
      <c r="K816" s="1" t="s">
        <v>10</v>
      </c>
    </row>
    <row r="817" spans="1:11" ht="15" customHeight="1" x14ac:dyDescent="0.25">
      <c r="A817" s="1">
        <v>10816</v>
      </c>
      <c r="B817" s="2">
        <v>45834</v>
      </c>
      <c r="C817" s="1" t="s">
        <v>21</v>
      </c>
      <c r="D817" s="1" t="s">
        <v>35</v>
      </c>
      <c r="E817" s="1" t="s">
        <v>10</v>
      </c>
      <c r="F817" s="1" t="s">
        <v>13</v>
      </c>
      <c r="G817" s="1">
        <v>2</v>
      </c>
      <c r="H817" s="1">
        <v>28174.31</v>
      </c>
      <c r="I817" s="1">
        <v>0.15</v>
      </c>
      <c r="J817" s="1">
        <v>6048.25</v>
      </c>
      <c r="K817" s="1" t="s">
        <v>10</v>
      </c>
    </row>
    <row r="818" spans="1:11" ht="15" customHeight="1" x14ac:dyDescent="0.25">
      <c r="A818" s="1">
        <v>10817</v>
      </c>
      <c r="B818" s="2">
        <v>45660</v>
      </c>
      <c r="C818" s="1" t="s">
        <v>17</v>
      </c>
      <c r="D818" s="1" t="s">
        <v>40</v>
      </c>
      <c r="E818" s="1" t="s">
        <v>10</v>
      </c>
      <c r="F818" s="1" t="s">
        <v>12</v>
      </c>
      <c r="G818" s="1">
        <v>5</v>
      </c>
      <c r="H818" s="1">
        <v>15039.91</v>
      </c>
      <c r="I818" s="1">
        <v>0.25</v>
      </c>
      <c r="J818" s="1">
        <v>10923.67</v>
      </c>
      <c r="K818" s="1" t="s">
        <v>10</v>
      </c>
    </row>
    <row r="819" spans="1:11" ht="15" customHeight="1" x14ac:dyDescent="0.25">
      <c r="A819" s="1">
        <v>10818</v>
      </c>
      <c r="B819" s="2">
        <v>45799</v>
      </c>
      <c r="C819" s="1" t="s">
        <v>23</v>
      </c>
      <c r="D819" s="1" t="s">
        <v>36</v>
      </c>
      <c r="E819" s="1" t="s">
        <v>10</v>
      </c>
      <c r="F819" s="1" t="s">
        <v>13</v>
      </c>
      <c r="G819" s="1">
        <v>5</v>
      </c>
      <c r="H819" s="1">
        <v>36959.74</v>
      </c>
      <c r="I819" s="1">
        <v>0.25</v>
      </c>
      <c r="J819" s="1">
        <v>8621.2800000000007</v>
      </c>
      <c r="K819" s="1" t="s">
        <v>10</v>
      </c>
    </row>
    <row r="820" spans="1:11" ht="15" customHeight="1" x14ac:dyDescent="0.25">
      <c r="A820" s="1">
        <v>10819</v>
      </c>
      <c r="B820" s="2">
        <v>45815</v>
      </c>
      <c r="C820" s="1" t="s">
        <v>17</v>
      </c>
      <c r="D820" s="1" t="s">
        <v>34</v>
      </c>
      <c r="E820" s="1" t="s">
        <v>10</v>
      </c>
      <c r="F820" s="1" t="s">
        <v>12</v>
      </c>
      <c r="G820" s="1">
        <v>4</v>
      </c>
      <c r="H820" s="1">
        <v>55752.29</v>
      </c>
      <c r="I820" s="1">
        <v>0.25</v>
      </c>
      <c r="J820" s="1">
        <v>7005.74</v>
      </c>
      <c r="K820" s="1" t="s">
        <v>10</v>
      </c>
    </row>
    <row r="821" spans="1:11" ht="15" customHeight="1" x14ac:dyDescent="0.25">
      <c r="A821" s="1">
        <v>10820</v>
      </c>
      <c r="B821" s="2">
        <v>45981</v>
      </c>
      <c r="C821" s="1" t="s">
        <v>21</v>
      </c>
      <c r="D821" s="1" t="s">
        <v>40</v>
      </c>
      <c r="E821" s="1" t="s">
        <v>10</v>
      </c>
      <c r="F821" s="1" t="s">
        <v>12</v>
      </c>
      <c r="G821" s="1">
        <v>7</v>
      </c>
      <c r="H821" s="1">
        <v>37196.400000000001</v>
      </c>
      <c r="I821" s="1">
        <v>0.1</v>
      </c>
      <c r="J821" s="1">
        <v>9583.77</v>
      </c>
      <c r="K821" s="1" t="s">
        <v>10</v>
      </c>
    </row>
    <row r="822" spans="1:11" ht="15" customHeight="1" x14ac:dyDescent="0.25">
      <c r="A822" s="1">
        <v>10821</v>
      </c>
      <c r="B822" s="2">
        <v>45803</v>
      </c>
      <c r="C822" s="1" t="s">
        <v>18</v>
      </c>
      <c r="D822" s="1" t="s">
        <v>33</v>
      </c>
      <c r="E822" s="1" t="s">
        <v>8</v>
      </c>
      <c r="F822" s="1" t="s">
        <v>13</v>
      </c>
      <c r="G822" s="1">
        <v>2</v>
      </c>
      <c r="H822" s="1">
        <v>36496.97</v>
      </c>
      <c r="I822" s="1">
        <v>0.05</v>
      </c>
      <c r="J822" s="1">
        <v>10379.18</v>
      </c>
      <c r="K822" s="1" t="s">
        <v>8</v>
      </c>
    </row>
    <row r="823" spans="1:11" ht="15" customHeight="1" x14ac:dyDescent="0.25">
      <c r="A823" s="1">
        <v>10822</v>
      </c>
      <c r="B823" s="2">
        <v>45950</v>
      </c>
      <c r="C823" s="1" t="s">
        <v>17</v>
      </c>
      <c r="D823" s="1" t="s">
        <v>34</v>
      </c>
      <c r="E823" s="1" t="s">
        <v>10</v>
      </c>
      <c r="F823" s="1" t="s">
        <v>13</v>
      </c>
      <c r="G823" s="1">
        <v>1</v>
      </c>
      <c r="H823" s="1">
        <v>62948.17</v>
      </c>
      <c r="I823" s="1">
        <v>0.15</v>
      </c>
      <c r="J823" s="1">
        <v>5509.81</v>
      </c>
      <c r="K823" s="1" t="s">
        <v>10</v>
      </c>
    </row>
    <row r="824" spans="1:11" ht="15" customHeight="1" x14ac:dyDescent="0.25">
      <c r="A824" s="1">
        <v>10823</v>
      </c>
      <c r="B824" s="2">
        <v>45810</v>
      </c>
      <c r="C824" s="1" t="s">
        <v>22</v>
      </c>
      <c r="D824" s="1" t="s">
        <v>39</v>
      </c>
      <c r="E824" s="1" t="s">
        <v>10</v>
      </c>
      <c r="F824" s="1" t="s">
        <v>12</v>
      </c>
      <c r="G824" s="1">
        <v>1</v>
      </c>
      <c r="H824" s="1">
        <v>27424.58</v>
      </c>
      <c r="I824" s="1">
        <v>0.15</v>
      </c>
      <c r="J824" s="1">
        <v>5727.54</v>
      </c>
      <c r="K824" s="1" t="s">
        <v>10</v>
      </c>
    </row>
    <row r="825" spans="1:11" ht="15" customHeight="1" x14ac:dyDescent="0.25">
      <c r="A825" s="1">
        <v>10824</v>
      </c>
      <c r="B825" s="2">
        <v>45850</v>
      </c>
      <c r="C825" s="1" t="s">
        <v>19</v>
      </c>
      <c r="D825" s="1" t="s">
        <v>33</v>
      </c>
      <c r="E825" s="1" t="s">
        <v>8</v>
      </c>
      <c r="F825" s="1" t="s">
        <v>13</v>
      </c>
      <c r="G825" s="1">
        <v>6</v>
      </c>
      <c r="H825" s="1">
        <v>64554.7</v>
      </c>
      <c r="I825" s="1">
        <v>0.25</v>
      </c>
      <c r="J825" s="1">
        <v>4663.3100000000004</v>
      </c>
      <c r="K825" s="1" t="s">
        <v>8</v>
      </c>
    </row>
    <row r="826" spans="1:11" ht="15" customHeight="1" x14ac:dyDescent="0.25">
      <c r="A826" s="1">
        <v>10825</v>
      </c>
      <c r="B826" s="2">
        <v>45730</v>
      </c>
      <c r="C826" s="1" t="s">
        <v>25</v>
      </c>
      <c r="D826" s="1" t="s">
        <v>37</v>
      </c>
      <c r="E826" s="1" t="s">
        <v>8</v>
      </c>
      <c r="F826" s="1" t="s">
        <v>12</v>
      </c>
      <c r="G826" s="1">
        <v>3</v>
      </c>
      <c r="H826" s="1">
        <v>30806.959999999999</v>
      </c>
      <c r="I826" s="1">
        <v>0.15</v>
      </c>
      <c r="J826" s="1">
        <v>11602.14</v>
      </c>
      <c r="K826" s="1" t="s">
        <v>8</v>
      </c>
    </row>
    <row r="827" spans="1:11" ht="15" customHeight="1" x14ac:dyDescent="0.25">
      <c r="A827" s="1">
        <v>10826</v>
      </c>
      <c r="B827" s="2">
        <v>45962</v>
      </c>
      <c r="C827" s="1" t="s">
        <v>17</v>
      </c>
      <c r="D827" s="1" t="s">
        <v>34</v>
      </c>
      <c r="E827" s="1" t="s">
        <v>10</v>
      </c>
      <c r="F827" s="1" t="s">
        <v>9</v>
      </c>
      <c r="G827" s="1">
        <v>6</v>
      </c>
      <c r="H827" s="1">
        <v>24953.37</v>
      </c>
      <c r="I827" s="1">
        <v>0.05</v>
      </c>
      <c r="J827" s="1">
        <v>8381.14</v>
      </c>
      <c r="K827" s="1" t="s">
        <v>10</v>
      </c>
    </row>
    <row r="828" spans="1:11" ht="15" customHeight="1" x14ac:dyDescent="0.25">
      <c r="A828" s="1">
        <v>10827</v>
      </c>
      <c r="B828" s="2">
        <v>46001</v>
      </c>
      <c r="C828" s="1" t="s">
        <v>19</v>
      </c>
      <c r="D828" s="1" t="s">
        <v>36</v>
      </c>
      <c r="E828" s="1" t="s">
        <v>10</v>
      </c>
      <c r="F828" s="1" t="s">
        <v>13</v>
      </c>
      <c r="G828" s="1">
        <v>6</v>
      </c>
      <c r="H828" s="1">
        <v>34322.25</v>
      </c>
      <c r="I828" s="1">
        <v>0.05</v>
      </c>
      <c r="J828" s="1">
        <v>1044.52</v>
      </c>
      <c r="K828" s="1" t="s">
        <v>10</v>
      </c>
    </row>
    <row r="829" spans="1:11" ht="15" customHeight="1" x14ac:dyDescent="0.25">
      <c r="A829" s="1">
        <v>10828</v>
      </c>
      <c r="B829" s="2">
        <v>45797</v>
      </c>
      <c r="C829" s="1" t="s">
        <v>20</v>
      </c>
      <c r="D829" s="1" t="s">
        <v>38</v>
      </c>
      <c r="E829" s="1" t="s">
        <v>10</v>
      </c>
      <c r="F829" s="1" t="s">
        <v>9</v>
      </c>
      <c r="G829" s="1">
        <v>1</v>
      </c>
      <c r="H829" s="1">
        <v>57302.3</v>
      </c>
      <c r="I829" s="1">
        <v>0.2</v>
      </c>
      <c r="J829" s="1">
        <v>10362.370000000001</v>
      </c>
      <c r="K829" s="1" t="s">
        <v>10</v>
      </c>
    </row>
    <row r="830" spans="1:11" ht="15" customHeight="1" x14ac:dyDescent="0.25">
      <c r="A830" s="1">
        <v>10829</v>
      </c>
      <c r="B830" s="2">
        <v>45844</v>
      </c>
      <c r="C830" s="1" t="s">
        <v>19</v>
      </c>
      <c r="D830" s="1" t="s">
        <v>33</v>
      </c>
      <c r="E830" s="1" t="s">
        <v>8</v>
      </c>
      <c r="F830" s="1" t="s">
        <v>11</v>
      </c>
      <c r="G830" s="1">
        <v>4</v>
      </c>
      <c r="H830" s="1">
        <v>9887.15</v>
      </c>
      <c r="I830" s="1">
        <v>0.2</v>
      </c>
      <c r="J830" s="1">
        <v>5792.69</v>
      </c>
      <c r="K830" s="1" t="s">
        <v>8</v>
      </c>
    </row>
    <row r="831" spans="1:11" ht="15" customHeight="1" x14ac:dyDescent="0.25">
      <c r="A831" s="1">
        <v>10830</v>
      </c>
      <c r="B831" s="2">
        <v>45950</v>
      </c>
      <c r="C831" s="1" t="s">
        <v>25</v>
      </c>
      <c r="D831" s="1" t="s">
        <v>37</v>
      </c>
      <c r="E831" s="1" t="s">
        <v>8</v>
      </c>
      <c r="F831" s="1" t="s">
        <v>9</v>
      </c>
      <c r="G831" s="1">
        <v>5</v>
      </c>
      <c r="H831" s="1">
        <v>15133.23</v>
      </c>
      <c r="I831" s="1">
        <v>0</v>
      </c>
      <c r="J831" s="1">
        <v>871.61</v>
      </c>
      <c r="K831" s="1" t="s">
        <v>8</v>
      </c>
    </row>
    <row r="832" spans="1:11" ht="15" customHeight="1" x14ac:dyDescent="0.25">
      <c r="A832" s="1">
        <v>10831</v>
      </c>
      <c r="B832" s="2">
        <v>45718</v>
      </c>
      <c r="C832" s="1" t="s">
        <v>19</v>
      </c>
      <c r="D832" s="1" t="s">
        <v>35</v>
      </c>
      <c r="E832" s="1" t="s">
        <v>10</v>
      </c>
      <c r="F832" s="1" t="s">
        <v>9</v>
      </c>
      <c r="G832" s="1">
        <v>7</v>
      </c>
      <c r="H832" s="1">
        <v>71382.64</v>
      </c>
      <c r="I832" s="1">
        <v>0.05</v>
      </c>
      <c r="J832" s="1">
        <v>6619.12</v>
      </c>
      <c r="K832" s="1" t="s">
        <v>10</v>
      </c>
    </row>
    <row r="833" spans="1:11" ht="15" customHeight="1" x14ac:dyDescent="0.25">
      <c r="A833" s="1">
        <v>10832</v>
      </c>
      <c r="B833" s="2">
        <v>45855</v>
      </c>
      <c r="C833" s="1" t="s">
        <v>21</v>
      </c>
      <c r="D833" s="1" t="s">
        <v>35</v>
      </c>
      <c r="E833" s="1" t="s">
        <v>10</v>
      </c>
      <c r="F833" s="1" t="s">
        <v>12</v>
      </c>
      <c r="G833" s="1">
        <v>5</v>
      </c>
      <c r="H833" s="1">
        <v>13574.13</v>
      </c>
      <c r="I833" s="1">
        <v>0.05</v>
      </c>
      <c r="J833" s="1">
        <v>5035.1099999999997</v>
      </c>
      <c r="K833" s="1" t="s">
        <v>10</v>
      </c>
    </row>
    <row r="834" spans="1:11" ht="15" customHeight="1" x14ac:dyDescent="0.25">
      <c r="A834" s="1">
        <v>10833</v>
      </c>
      <c r="B834" s="2">
        <v>45952</v>
      </c>
      <c r="C834" s="1" t="s">
        <v>23</v>
      </c>
      <c r="D834" s="1" t="s">
        <v>36</v>
      </c>
      <c r="E834" s="1" t="s">
        <v>10</v>
      </c>
      <c r="F834" s="1" t="s">
        <v>9</v>
      </c>
      <c r="G834" s="1">
        <v>5</v>
      </c>
      <c r="H834" s="1">
        <v>42795.69</v>
      </c>
      <c r="I834" s="1">
        <v>0.05</v>
      </c>
      <c r="J834" s="1">
        <v>10539.11</v>
      </c>
      <c r="K834" s="1" t="s">
        <v>10</v>
      </c>
    </row>
    <row r="835" spans="1:11" ht="15" customHeight="1" x14ac:dyDescent="0.25">
      <c r="A835" s="1">
        <v>10834</v>
      </c>
      <c r="B835" s="2">
        <v>45976</v>
      </c>
      <c r="C835" s="1" t="s">
        <v>25</v>
      </c>
      <c r="D835" s="1" t="s">
        <v>34</v>
      </c>
      <c r="E835" s="1" t="s">
        <v>10</v>
      </c>
      <c r="F835" s="1" t="s">
        <v>13</v>
      </c>
      <c r="G835" s="1">
        <v>2</v>
      </c>
      <c r="H835" s="1">
        <v>43658.93</v>
      </c>
      <c r="I835" s="1">
        <v>0.2</v>
      </c>
      <c r="J835" s="1">
        <v>2487.7399999999998</v>
      </c>
      <c r="K835" s="1" t="s">
        <v>10</v>
      </c>
    </row>
    <row r="836" spans="1:11" ht="15" customHeight="1" x14ac:dyDescent="0.25">
      <c r="A836" s="1">
        <v>10835</v>
      </c>
      <c r="B836" s="2">
        <v>45959</v>
      </c>
      <c r="C836" s="1" t="s">
        <v>23</v>
      </c>
      <c r="D836" s="1" t="s">
        <v>40</v>
      </c>
      <c r="E836" s="1" t="s">
        <v>10</v>
      </c>
      <c r="F836" s="1" t="s">
        <v>12</v>
      </c>
      <c r="G836" s="1">
        <v>1</v>
      </c>
      <c r="H836" s="1">
        <v>36977.019999999997</v>
      </c>
      <c r="I836" s="1">
        <v>0.25</v>
      </c>
      <c r="J836" s="1">
        <v>9926.25</v>
      </c>
      <c r="K836" s="1" t="s">
        <v>10</v>
      </c>
    </row>
    <row r="837" spans="1:11" ht="15" customHeight="1" x14ac:dyDescent="0.25">
      <c r="A837" s="1">
        <v>10836</v>
      </c>
      <c r="B837" s="2">
        <v>46001</v>
      </c>
      <c r="C837" s="1" t="s">
        <v>18</v>
      </c>
      <c r="D837" s="1" t="s">
        <v>34</v>
      </c>
      <c r="E837" s="1" t="s">
        <v>10</v>
      </c>
      <c r="F837" s="1" t="s">
        <v>11</v>
      </c>
      <c r="G837" s="1">
        <v>7</v>
      </c>
      <c r="H837" s="1">
        <v>48533.52</v>
      </c>
      <c r="I837" s="1">
        <v>0.25</v>
      </c>
      <c r="J837" s="1">
        <v>6714.38</v>
      </c>
      <c r="K837" s="1" t="s">
        <v>10</v>
      </c>
    </row>
    <row r="838" spans="1:11" ht="15" customHeight="1" x14ac:dyDescent="0.25">
      <c r="A838" s="1">
        <v>10837</v>
      </c>
      <c r="B838" s="2">
        <v>45668</v>
      </c>
      <c r="C838" s="1" t="s">
        <v>23</v>
      </c>
      <c r="D838" s="1" t="s">
        <v>36</v>
      </c>
      <c r="E838" s="1" t="s">
        <v>10</v>
      </c>
      <c r="F838" s="1" t="s">
        <v>13</v>
      </c>
      <c r="G838" s="1">
        <v>4</v>
      </c>
      <c r="H838" s="1">
        <v>17622.09</v>
      </c>
      <c r="I838" s="1">
        <v>0.15</v>
      </c>
      <c r="J838" s="1">
        <v>702.59</v>
      </c>
      <c r="K838" s="1" t="s">
        <v>10</v>
      </c>
    </row>
    <row r="839" spans="1:11" ht="15" customHeight="1" x14ac:dyDescent="0.25">
      <c r="A839" s="1">
        <v>10838</v>
      </c>
      <c r="B839" s="2">
        <v>45719</v>
      </c>
      <c r="C839" s="1" t="s">
        <v>20</v>
      </c>
      <c r="D839" s="1" t="s">
        <v>35</v>
      </c>
      <c r="E839" s="1" t="s">
        <v>10</v>
      </c>
      <c r="F839" s="1" t="s">
        <v>11</v>
      </c>
      <c r="G839" s="1">
        <v>2</v>
      </c>
      <c r="H839" s="1">
        <v>41673.339999999997</v>
      </c>
      <c r="I839" s="1">
        <v>0.25</v>
      </c>
      <c r="J839" s="1">
        <v>11663.55</v>
      </c>
      <c r="K839" s="1" t="s">
        <v>10</v>
      </c>
    </row>
    <row r="840" spans="1:11" ht="15" customHeight="1" x14ac:dyDescent="0.25">
      <c r="A840" s="1">
        <v>10839</v>
      </c>
      <c r="B840" s="2">
        <v>45990</v>
      </c>
      <c r="C840" s="1" t="s">
        <v>21</v>
      </c>
      <c r="D840" s="1" t="s">
        <v>34</v>
      </c>
      <c r="E840" s="1" t="s">
        <v>10</v>
      </c>
      <c r="F840" s="1" t="s">
        <v>9</v>
      </c>
      <c r="G840" s="1">
        <v>3</v>
      </c>
      <c r="H840" s="1">
        <v>28226.91</v>
      </c>
      <c r="I840" s="1">
        <v>0.1</v>
      </c>
      <c r="J840" s="1">
        <v>6175.75</v>
      </c>
      <c r="K840" s="1" t="s">
        <v>10</v>
      </c>
    </row>
    <row r="841" spans="1:11" ht="15" customHeight="1" x14ac:dyDescent="0.25">
      <c r="A841" s="1">
        <v>10840</v>
      </c>
      <c r="B841" s="2">
        <v>45883</v>
      </c>
      <c r="C841" s="1" t="s">
        <v>18</v>
      </c>
      <c r="D841" s="1" t="s">
        <v>35</v>
      </c>
      <c r="E841" s="1" t="s">
        <v>10</v>
      </c>
      <c r="F841" s="1" t="s">
        <v>13</v>
      </c>
      <c r="G841" s="1">
        <v>4</v>
      </c>
      <c r="H841" s="1">
        <v>49794.21</v>
      </c>
      <c r="I841" s="1">
        <v>0.2</v>
      </c>
      <c r="J841" s="1">
        <v>3525.98</v>
      </c>
      <c r="K841" s="1" t="s">
        <v>10</v>
      </c>
    </row>
    <row r="842" spans="1:11" ht="15" customHeight="1" x14ac:dyDescent="0.25">
      <c r="A842" s="1">
        <v>10841</v>
      </c>
      <c r="B842" s="2">
        <v>45810</v>
      </c>
      <c r="C842" s="1" t="s">
        <v>19</v>
      </c>
      <c r="D842" s="1" t="s">
        <v>33</v>
      </c>
      <c r="E842" s="1" t="s">
        <v>8</v>
      </c>
      <c r="F842" s="1" t="s">
        <v>13</v>
      </c>
      <c r="G842" s="1">
        <v>6</v>
      </c>
      <c r="H842" s="1">
        <v>11021.15</v>
      </c>
      <c r="I842" s="1">
        <v>0.05</v>
      </c>
      <c r="J842" s="1">
        <v>5659.41</v>
      </c>
      <c r="K842" s="1" t="s">
        <v>8</v>
      </c>
    </row>
    <row r="843" spans="1:11" ht="15" customHeight="1" x14ac:dyDescent="0.25">
      <c r="A843" s="1">
        <v>10842</v>
      </c>
      <c r="B843" s="2">
        <v>45856</v>
      </c>
      <c r="C843" s="1" t="s">
        <v>25</v>
      </c>
      <c r="D843" s="1" t="s">
        <v>37</v>
      </c>
      <c r="E843" s="1" t="s">
        <v>8</v>
      </c>
      <c r="F843" s="1" t="s">
        <v>11</v>
      </c>
      <c r="G843" s="1">
        <v>4</v>
      </c>
      <c r="H843" s="1">
        <v>43030.37</v>
      </c>
      <c r="I843" s="1">
        <v>0.25</v>
      </c>
      <c r="J843" s="1">
        <v>10301.4</v>
      </c>
      <c r="K843" s="1" t="s">
        <v>8</v>
      </c>
    </row>
    <row r="844" spans="1:11" ht="15" customHeight="1" x14ac:dyDescent="0.25">
      <c r="A844" s="1">
        <v>10843</v>
      </c>
      <c r="B844" s="2">
        <v>45709</v>
      </c>
      <c r="C844" s="1" t="s">
        <v>20</v>
      </c>
      <c r="D844" s="1" t="s">
        <v>40</v>
      </c>
      <c r="E844" s="1" t="s">
        <v>10</v>
      </c>
      <c r="F844" s="1" t="s">
        <v>13</v>
      </c>
      <c r="G844" s="1">
        <v>4</v>
      </c>
      <c r="H844" s="1">
        <v>14302.64</v>
      </c>
      <c r="I844" s="1">
        <v>0.2</v>
      </c>
      <c r="J844" s="1">
        <v>3693.59</v>
      </c>
      <c r="K844" s="1" t="s">
        <v>10</v>
      </c>
    </row>
    <row r="845" spans="1:11" ht="15" customHeight="1" x14ac:dyDescent="0.25">
      <c r="A845" s="1">
        <v>10844</v>
      </c>
      <c r="B845" s="2">
        <v>45917</v>
      </c>
      <c r="C845" s="1" t="s">
        <v>21</v>
      </c>
      <c r="D845" s="1" t="s">
        <v>33</v>
      </c>
      <c r="E845" s="1" t="s">
        <v>8</v>
      </c>
      <c r="F845" s="1" t="s">
        <v>13</v>
      </c>
      <c r="G845" s="1">
        <v>5</v>
      </c>
      <c r="H845" s="1">
        <v>21258.91</v>
      </c>
      <c r="I845" s="1">
        <v>0.25</v>
      </c>
      <c r="J845" s="1">
        <v>2352.48</v>
      </c>
      <c r="K845" s="1" t="s">
        <v>8</v>
      </c>
    </row>
    <row r="846" spans="1:11" ht="15" customHeight="1" x14ac:dyDescent="0.25">
      <c r="A846" s="1">
        <v>10845</v>
      </c>
      <c r="B846" s="2">
        <v>45716</v>
      </c>
      <c r="C846" s="1" t="s">
        <v>18</v>
      </c>
      <c r="D846" s="1" t="s">
        <v>35</v>
      </c>
      <c r="E846" s="1" t="s">
        <v>10</v>
      </c>
      <c r="F846" s="1" t="s">
        <v>13</v>
      </c>
      <c r="G846" s="1">
        <v>4</v>
      </c>
      <c r="H846" s="1">
        <v>16793.88</v>
      </c>
      <c r="I846" s="1">
        <v>0</v>
      </c>
      <c r="J846" s="1">
        <v>1592.4</v>
      </c>
      <c r="K846" s="1" t="s">
        <v>10</v>
      </c>
    </row>
    <row r="847" spans="1:11" ht="15" customHeight="1" x14ac:dyDescent="0.25">
      <c r="A847" s="1">
        <v>10846</v>
      </c>
      <c r="B847" s="2">
        <v>45729</v>
      </c>
      <c r="C847" s="1" t="s">
        <v>18</v>
      </c>
      <c r="D847" s="1" t="s">
        <v>35</v>
      </c>
      <c r="E847" s="1" t="s">
        <v>10</v>
      </c>
      <c r="F847" s="1" t="s">
        <v>9</v>
      </c>
      <c r="G847" s="1">
        <v>6</v>
      </c>
      <c r="H847" s="1">
        <v>14121.41</v>
      </c>
      <c r="I847" s="1">
        <v>0.05</v>
      </c>
      <c r="J847" s="1">
        <v>3609.42</v>
      </c>
      <c r="K847" s="1" t="s">
        <v>10</v>
      </c>
    </row>
    <row r="848" spans="1:11" ht="15" customHeight="1" x14ac:dyDescent="0.25">
      <c r="A848" s="1">
        <v>10847</v>
      </c>
      <c r="B848" s="2">
        <v>45805</v>
      </c>
      <c r="C848" s="1" t="s">
        <v>20</v>
      </c>
      <c r="D848" s="1" t="s">
        <v>38</v>
      </c>
      <c r="E848" s="1" t="s">
        <v>10</v>
      </c>
      <c r="F848" s="1" t="s">
        <v>11</v>
      </c>
      <c r="G848" s="1">
        <v>6</v>
      </c>
      <c r="H848" s="1">
        <v>62015.47</v>
      </c>
      <c r="I848" s="1">
        <v>0</v>
      </c>
      <c r="J848" s="1">
        <v>9371.57</v>
      </c>
      <c r="K848" s="1" t="s">
        <v>10</v>
      </c>
    </row>
    <row r="849" spans="1:11" ht="15" customHeight="1" x14ac:dyDescent="0.25">
      <c r="A849" s="1">
        <v>10848</v>
      </c>
      <c r="B849" s="2">
        <v>46006</v>
      </c>
      <c r="C849" s="1" t="s">
        <v>22</v>
      </c>
      <c r="D849" s="1" t="s">
        <v>38</v>
      </c>
      <c r="E849" s="1" t="s">
        <v>10</v>
      </c>
      <c r="F849" s="1" t="s">
        <v>13</v>
      </c>
      <c r="G849" s="1">
        <v>1</v>
      </c>
      <c r="H849" s="1">
        <v>21785.21</v>
      </c>
      <c r="I849" s="1">
        <v>0.05</v>
      </c>
      <c r="J849" s="1">
        <v>5685.94</v>
      </c>
      <c r="K849" s="1" t="s">
        <v>10</v>
      </c>
    </row>
    <row r="850" spans="1:11" ht="15" customHeight="1" x14ac:dyDescent="0.25">
      <c r="A850" s="1">
        <v>10849</v>
      </c>
      <c r="B850" s="2">
        <v>45720</v>
      </c>
      <c r="C850" s="1" t="s">
        <v>19</v>
      </c>
      <c r="D850" s="1" t="s">
        <v>33</v>
      </c>
      <c r="E850" s="1" t="s">
        <v>8</v>
      </c>
      <c r="F850" s="1" t="s">
        <v>12</v>
      </c>
      <c r="G850" s="1">
        <v>4</v>
      </c>
      <c r="H850" s="1">
        <v>69570.720000000001</v>
      </c>
      <c r="I850" s="1">
        <v>0.2</v>
      </c>
      <c r="J850" s="1">
        <v>2768.41</v>
      </c>
      <c r="K850" s="1" t="s">
        <v>8</v>
      </c>
    </row>
    <row r="851" spans="1:11" ht="15" customHeight="1" x14ac:dyDescent="0.25">
      <c r="A851" s="1">
        <v>10850</v>
      </c>
      <c r="B851" s="2">
        <v>45967</v>
      </c>
      <c r="C851" s="1" t="s">
        <v>20</v>
      </c>
      <c r="D851" s="1" t="s">
        <v>39</v>
      </c>
      <c r="E851" s="1" t="s">
        <v>10</v>
      </c>
      <c r="F851" s="1" t="s">
        <v>12</v>
      </c>
      <c r="G851" s="1">
        <v>5</v>
      </c>
      <c r="H851" s="1">
        <v>72759.53</v>
      </c>
      <c r="I851" s="1">
        <v>0.15</v>
      </c>
      <c r="J851" s="1">
        <v>2035.91</v>
      </c>
      <c r="K851" s="1" t="s">
        <v>10</v>
      </c>
    </row>
    <row r="852" spans="1:11" ht="15" customHeight="1" x14ac:dyDescent="0.25">
      <c r="A852" s="1">
        <v>10851</v>
      </c>
      <c r="B852" s="2">
        <v>45900</v>
      </c>
      <c r="C852" s="1" t="s">
        <v>18</v>
      </c>
      <c r="D852" s="1" t="s">
        <v>33</v>
      </c>
      <c r="E852" s="1" t="s">
        <v>8</v>
      </c>
      <c r="F852" s="1" t="s">
        <v>12</v>
      </c>
      <c r="G852" s="1">
        <v>4</v>
      </c>
      <c r="H852" s="1">
        <v>43058.91</v>
      </c>
      <c r="I852" s="1">
        <v>0.25</v>
      </c>
      <c r="J852" s="1">
        <v>4026.12</v>
      </c>
      <c r="K852" s="1" t="s">
        <v>8</v>
      </c>
    </row>
    <row r="853" spans="1:11" ht="15" customHeight="1" x14ac:dyDescent="0.25">
      <c r="A853" s="1">
        <v>10852</v>
      </c>
      <c r="B853" s="2">
        <v>45987</v>
      </c>
      <c r="C853" s="1" t="s">
        <v>17</v>
      </c>
      <c r="D853" s="1" t="s">
        <v>38</v>
      </c>
      <c r="E853" s="1" t="s">
        <v>10</v>
      </c>
      <c r="F853" s="1" t="s">
        <v>12</v>
      </c>
      <c r="G853" s="1">
        <v>3</v>
      </c>
      <c r="H853" s="1">
        <v>11153.58</v>
      </c>
      <c r="I853" s="1">
        <v>0.25</v>
      </c>
      <c r="J853" s="1">
        <v>11282.1</v>
      </c>
      <c r="K853" s="1" t="s">
        <v>10</v>
      </c>
    </row>
    <row r="854" spans="1:11" ht="15" customHeight="1" x14ac:dyDescent="0.25">
      <c r="A854" s="1">
        <v>10853</v>
      </c>
      <c r="B854" s="2">
        <v>45764</v>
      </c>
      <c r="C854" s="1" t="s">
        <v>21</v>
      </c>
      <c r="D854" s="1" t="s">
        <v>35</v>
      </c>
      <c r="E854" s="1" t="s">
        <v>10</v>
      </c>
      <c r="F854" s="1" t="s">
        <v>9</v>
      </c>
      <c r="G854" s="1">
        <v>3</v>
      </c>
      <c r="H854" s="1">
        <v>28403.84</v>
      </c>
      <c r="I854" s="1">
        <v>0.1</v>
      </c>
      <c r="J854" s="1">
        <v>4149.17</v>
      </c>
      <c r="K854" s="1" t="s">
        <v>10</v>
      </c>
    </row>
    <row r="855" spans="1:11" ht="15" customHeight="1" x14ac:dyDescent="0.25">
      <c r="A855" s="1">
        <v>10854</v>
      </c>
      <c r="B855" s="2">
        <v>45883</v>
      </c>
      <c r="C855" s="1" t="s">
        <v>20</v>
      </c>
      <c r="D855" s="1" t="s">
        <v>36</v>
      </c>
      <c r="E855" s="1" t="s">
        <v>10</v>
      </c>
      <c r="F855" s="1" t="s">
        <v>13</v>
      </c>
      <c r="G855" s="1">
        <v>5</v>
      </c>
      <c r="H855" s="1">
        <v>59931.05</v>
      </c>
      <c r="I855" s="1">
        <v>0</v>
      </c>
      <c r="J855" s="1">
        <v>11858.08</v>
      </c>
      <c r="K855" s="1" t="s">
        <v>10</v>
      </c>
    </row>
    <row r="856" spans="1:11" ht="15" customHeight="1" x14ac:dyDescent="0.25">
      <c r="A856" s="1">
        <v>10855</v>
      </c>
      <c r="B856" s="2">
        <v>45970</v>
      </c>
      <c r="C856" s="1" t="s">
        <v>22</v>
      </c>
      <c r="D856" s="1" t="s">
        <v>33</v>
      </c>
      <c r="E856" s="1" t="s">
        <v>8</v>
      </c>
      <c r="F856" s="1" t="s">
        <v>11</v>
      </c>
      <c r="G856" s="1">
        <v>1</v>
      </c>
      <c r="H856" s="1">
        <v>27870.61</v>
      </c>
      <c r="I856" s="1">
        <v>0.25</v>
      </c>
      <c r="J856" s="1">
        <v>5848.5</v>
      </c>
      <c r="K856" s="1" t="s">
        <v>8</v>
      </c>
    </row>
    <row r="857" spans="1:11" ht="15" customHeight="1" x14ac:dyDescent="0.25">
      <c r="A857" s="1">
        <v>10856</v>
      </c>
      <c r="B857" s="2">
        <v>45875</v>
      </c>
      <c r="C857" s="1" t="s">
        <v>18</v>
      </c>
      <c r="D857" s="1" t="s">
        <v>35</v>
      </c>
      <c r="E857" s="1" t="s">
        <v>10</v>
      </c>
      <c r="F857" s="1" t="s">
        <v>13</v>
      </c>
      <c r="G857" s="1">
        <v>1</v>
      </c>
      <c r="H857" s="1">
        <v>6982.78</v>
      </c>
      <c r="I857" s="1">
        <v>0.2</v>
      </c>
      <c r="J857" s="1">
        <v>2191.0100000000002</v>
      </c>
      <c r="K857" s="1" t="s">
        <v>10</v>
      </c>
    </row>
    <row r="858" spans="1:11" ht="15" customHeight="1" x14ac:dyDescent="0.25">
      <c r="A858" s="1">
        <v>10857</v>
      </c>
      <c r="B858" s="2">
        <v>45898</v>
      </c>
      <c r="C858" s="1" t="s">
        <v>19</v>
      </c>
      <c r="D858" s="1" t="s">
        <v>36</v>
      </c>
      <c r="E858" s="1" t="s">
        <v>10</v>
      </c>
      <c r="F858" s="1" t="s">
        <v>9</v>
      </c>
      <c r="G858" s="1">
        <v>6</v>
      </c>
      <c r="H858" s="1">
        <v>41980.480000000003</v>
      </c>
      <c r="I858" s="1">
        <v>0.15</v>
      </c>
      <c r="J858" s="1">
        <v>10699.12</v>
      </c>
      <c r="K858" s="1" t="s">
        <v>10</v>
      </c>
    </row>
    <row r="859" spans="1:11" ht="15" customHeight="1" x14ac:dyDescent="0.25">
      <c r="A859" s="1">
        <v>10858</v>
      </c>
      <c r="B859" s="2">
        <v>45916</v>
      </c>
      <c r="C859" s="1" t="s">
        <v>23</v>
      </c>
      <c r="D859" s="1" t="s">
        <v>36</v>
      </c>
      <c r="E859" s="1" t="s">
        <v>10</v>
      </c>
      <c r="F859" s="1" t="s">
        <v>12</v>
      </c>
      <c r="G859" s="1">
        <v>6</v>
      </c>
      <c r="H859" s="1">
        <v>63461.5</v>
      </c>
      <c r="I859" s="1">
        <v>0.2</v>
      </c>
      <c r="J859" s="1">
        <v>5551.25</v>
      </c>
      <c r="K859" s="1" t="s">
        <v>10</v>
      </c>
    </row>
    <row r="860" spans="1:11" ht="15" customHeight="1" x14ac:dyDescent="0.25">
      <c r="A860" s="1">
        <v>10859</v>
      </c>
      <c r="B860" s="2">
        <v>45919</v>
      </c>
      <c r="C860" s="1" t="s">
        <v>18</v>
      </c>
      <c r="D860" s="1" t="s">
        <v>38</v>
      </c>
      <c r="E860" s="1" t="s">
        <v>10</v>
      </c>
      <c r="F860" s="1" t="s">
        <v>9</v>
      </c>
      <c r="G860" s="1">
        <v>2</v>
      </c>
      <c r="H860" s="1">
        <v>59796.52</v>
      </c>
      <c r="I860" s="1">
        <v>0</v>
      </c>
      <c r="J860" s="1">
        <v>8530.57</v>
      </c>
      <c r="K860" s="1" t="s">
        <v>10</v>
      </c>
    </row>
    <row r="861" spans="1:11" ht="15" customHeight="1" x14ac:dyDescent="0.25">
      <c r="A861" s="1">
        <v>10860</v>
      </c>
      <c r="B861" s="2">
        <v>45662</v>
      </c>
      <c r="C861" s="1" t="s">
        <v>19</v>
      </c>
      <c r="D861" s="1" t="s">
        <v>33</v>
      </c>
      <c r="E861" s="1" t="s">
        <v>8</v>
      </c>
      <c r="F861" s="1" t="s">
        <v>13</v>
      </c>
      <c r="G861" s="1">
        <v>5</v>
      </c>
      <c r="H861" s="1">
        <v>13546.67</v>
      </c>
      <c r="I861" s="1">
        <v>0.1</v>
      </c>
      <c r="J861" s="1">
        <v>11805.35</v>
      </c>
      <c r="K861" s="1" t="s">
        <v>8</v>
      </c>
    </row>
    <row r="862" spans="1:11" ht="15" customHeight="1" x14ac:dyDescent="0.25">
      <c r="A862" s="1">
        <v>10861</v>
      </c>
      <c r="B862" s="2">
        <v>45918</v>
      </c>
      <c r="C862" s="1" t="s">
        <v>20</v>
      </c>
      <c r="D862" s="1" t="s">
        <v>34</v>
      </c>
      <c r="E862" s="1" t="s">
        <v>10</v>
      </c>
      <c r="F862" s="1" t="s">
        <v>11</v>
      </c>
      <c r="G862" s="1">
        <v>4</v>
      </c>
      <c r="H862" s="1">
        <v>50620.959999999999</v>
      </c>
      <c r="I862" s="1">
        <v>0.25</v>
      </c>
      <c r="J862" s="1">
        <v>649.6</v>
      </c>
      <c r="K862" s="1" t="s">
        <v>10</v>
      </c>
    </row>
    <row r="863" spans="1:11" ht="15" customHeight="1" x14ac:dyDescent="0.25">
      <c r="A863" s="1">
        <v>10862</v>
      </c>
      <c r="B863" s="2">
        <v>45711</v>
      </c>
      <c r="C863" s="1" t="s">
        <v>19</v>
      </c>
      <c r="D863" s="1" t="s">
        <v>40</v>
      </c>
      <c r="E863" s="1" t="s">
        <v>10</v>
      </c>
      <c r="F863" s="1" t="s">
        <v>9</v>
      </c>
      <c r="G863" s="1">
        <v>7</v>
      </c>
      <c r="H863" s="1">
        <v>16927.57</v>
      </c>
      <c r="I863" s="1">
        <v>0.2</v>
      </c>
      <c r="J863" s="1">
        <v>1205.5</v>
      </c>
      <c r="K863" s="1" t="s">
        <v>10</v>
      </c>
    </row>
    <row r="864" spans="1:11" ht="15" customHeight="1" x14ac:dyDescent="0.25">
      <c r="A864" s="1">
        <v>10863</v>
      </c>
      <c r="B864" s="2">
        <v>45704</v>
      </c>
      <c r="C864" s="1" t="s">
        <v>25</v>
      </c>
      <c r="D864" s="1" t="s">
        <v>38</v>
      </c>
      <c r="E864" s="1" t="s">
        <v>10</v>
      </c>
      <c r="F864" s="1" t="s">
        <v>11</v>
      </c>
      <c r="G864" s="1">
        <v>5</v>
      </c>
      <c r="H864" s="1">
        <v>16756.46</v>
      </c>
      <c r="I864" s="1">
        <v>0.05</v>
      </c>
      <c r="J864" s="1">
        <v>8659.4599999999991</v>
      </c>
      <c r="K864" s="1" t="s">
        <v>10</v>
      </c>
    </row>
    <row r="865" spans="1:11" ht="15" customHeight="1" x14ac:dyDescent="0.25">
      <c r="A865" s="1">
        <v>10864</v>
      </c>
      <c r="B865" s="2">
        <v>45872</v>
      </c>
      <c r="C865" s="1" t="s">
        <v>25</v>
      </c>
      <c r="D865" s="1" t="s">
        <v>38</v>
      </c>
      <c r="E865" s="1" t="s">
        <v>10</v>
      </c>
      <c r="F865" s="1" t="s">
        <v>9</v>
      </c>
      <c r="G865" s="1">
        <v>2</v>
      </c>
      <c r="H865" s="1">
        <v>65618.350000000006</v>
      </c>
      <c r="I865" s="1">
        <v>0.15</v>
      </c>
      <c r="J865" s="1">
        <v>3417.81</v>
      </c>
      <c r="K865" s="1" t="s">
        <v>10</v>
      </c>
    </row>
    <row r="866" spans="1:11" ht="15" customHeight="1" x14ac:dyDescent="0.25">
      <c r="A866" s="1">
        <v>10865</v>
      </c>
      <c r="B866" s="2">
        <v>45834</v>
      </c>
      <c r="C866" s="1" t="s">
        <v>25</v>
      </c>
      <c r="D866" s="1" t="s">
        <v>34</v>
      </c>
      <c r="E866" s="1" t="s">
        <v>10</v>
      </c>
      <c r="F866" s="1" t="s">
        <v>11</v>
      </c>
      <c r="G866" s="1">
        <v>6</v>
      </c>
      <c r="H866" s="1">
        <v>19100.34</v>
      </c>
      <c r="I866" s="1">
        <v>0.2</v>
      </c>
      <c r="J866" s="1">
        <v>2252.4</v>
      </c>
      <c r="K866" s="1" t="s">
        <v>10</v>
      </c>
    </row>
    <row r="867" spans="1:11" ht="15" customHeight="1" x14ac:dyDescent="0.25">
      <c r="A867" s="1">
        <v>10866</v>
      </c>
      <c r="B867" s="2">
        <v>45666</v>
      </c>
      <c r="C867" s="1" t="s">
        <v>22</v>
      </c>
      <c r="D867" s="1" t="s">
        <v>40</v>
      </c>
      <c r="E867" s="1" t="s">
        <v>10</v>
      </c>
      <c r="F867" s="1" t="s">
        <v>11</v>
      </c>
      <c r="G867" s="1">
        <v>5</v>
      </c>
      <c r="H867" s="1">
        <v>20111.93</v>
      </c>
      <c r="I867" s="1">
        <v>0.15</v>
      </c>
      <c r="J867" s="1">
        <v>520.37</v>
      </c>
      <c r="K867" s="1" t="s">
        <v>10</v>
      </c>
    </row>
    <row r="868" spans="1:11" ht="15" customHeight="1" x14ac:dyDescent="0.25">
      <c r="A868" s="1">
        <v>10867</v>
      </c>
      <c r="B868" s="2">
        <v>45756</v>
      </c>
      <c r="C868" s="1" t="s">
        <v>22</v>
      </c>
      <c r="D868" s="1" t="s">
        <v>35</v>
      </c>
      <c r="E868" s="1" t="s">
        <v>10</v>
      </c>
      <c r="F868" s="1" t="s">
        <v>12</v>
      </c>
      <c r="G868" s="1">
        <v>5</v>
      </c>
      <c r="H868" s="1">
        <v>548.67999999999995</v>
      </c>
      <c r="I868" s="1">
        <v>0.25</v>
      </c>
      <c r="J868" s="1">
        <v>311.07</v>
      </c>
      <c r="K868" s="1" t="s">
        <v>10</v>
      </c>
    </row>
    <row r="869" spans="1:11" ht="15" customHeight="1" x14ac:dyDescent="0.25">
      <c r="A869" s="1">
        <v>10868</v>
      </c>
      <c r="B869" s="2">
        <v>45677</v>
      </c>
      <c r="C869" s="1" t="s">
        <v>17</v>
      </c>
      <c r="D869" s="1" t="s">
        <v>39</v>
      </c>
      <c r="E869" s="1" t="s">
        <v>10</v>
      </c>
      <c r="F869" s="1" t="s">
        <v>11</v>
      </c>
      <c r="G869" s="1">
        <v>6</v>
      </c>
      <c r="H869" s="1">
        <v>65364.84</v>
      </c>
      <c r="I869" s="1">
        <v>0.05</v>
      </c>
      <c r="J869" s="1">
        <v>9305.1</v>
      </c>
      <c r="K869" s="1" t="s">
        <v>10</v>
      </c>
    </row>
    <row r="870" spans="1:11" ht="15" customHeight="1" x14ac:dyDescent="0.25">
      <c r="A870" s="1">
        <v>10869</v>
      </c>
      <c r="B870" s="2">
        <v>45898</v>
      </c>
      <c r="C870" s="1" t="s">
        <v>22</v>
      </c>
      <c r="D870" s="1" t="s">
        <v>33</v>
      </c>
      <c r="E870" s="1" t="s">
        <v>8</v>
      </c>
      <c r="F870" s="1" t="s">
        <v>12</v>
      </c>
      <c r="G870" s="1">
        <v>2</v>
      </c>
      <c r="H870" s="1">
        <v>59548.31</v>
      </c>
      <c r="I870" s="1">
        <v>0.1</v>
      </c>
      <c r="J870" s="1">
        <v>1656.48</v>
      </c>
      <c r="K870" s="1" t="s">
        <v>8</v>
      </c>
    </row>
    <row r="871" spans="1:11" ht="15" customHeight="1" x14ac:dyDescent="0.25">
      <c r="A871" s="1">
        <v>10870</v>
      </c>
      <c r="B871" s="2">
        <v>45718</v>
      </c>
      <c r="C871" s="1" t="s">
        <v>23</v>
      </c>
      <c r="D871" s="1" t="s">
        <v>39</v>
      </c>
      <c r="E871" s="1" t="s">
        <v>10</v>
      </c>
      <c r="F871" s="1" t="s">
        <v>13</v>
      </c>
      <c r="G871" s="1">
        <v>6</v>
      </c>
      <c r="H871" s="1">
        <v>47236.01</v>
      </c>
      <c r="I871" s="1">
        <v>0.1</v>
      </c>
      <c r="J871" s="1">
        <v>5639.26</v>
      </c>
      <c r="K871" s="1" t="s">
        <v>10</v>
      </c>
    </row>
    <row r="872" spans="1:11" ht="15" customHeight="1" x14ac:dyDescent="0.25">
      <c r="A872" s="1">
        <v>10871</v>
      </c>
      <c r="B872" s="2">
        <v>45835</v>
      </c>
      <c r="C872" s="1" t="s">
        <v>20</v>
      </c>
      <c r="D872" s="1" t="s">
        <v>35</v>
      </c>
      <c r="E872" s="1" t="s">
        <v>10</v>
      </c>
      <c r="F872" s="1" t="s">
        <v>13</v>
      </c>
      <c r="G872" s="1">
        <v>1</v>
      </c>
      <c r="H872" s="1">
        <v>56394.8</v>
      </c>
      <c r="I872" s="1">
        <v>0.05</v>
      </c>
      <c r="J872" s="1">
        <v>7290.47</v>
      </c>
      <c r="K872" s="1" t="s">
        <v>10</v>
      </c>
    </row>
    <row r="873" spans="1:11" ht="15" customHeight="1" x14ac:dyDescent="0.25">
      <c r="A873" s="1">
        <v>10872</v>
      </c>
      <c r="B873" s="2">
        <v>45995</v>
      </c>
      <c r="C873" s="1" t="s">
        <v>18</v>
      </c>
      <c r="D873" s="1" t="s">
        <v>37</v>
      </c>
      <c r="E873" s="1" t="s">
        <v>8</v>
      </c>
      <c r="F873" s="1" t="s">
        <v>12</v>
      </c>
      <c r="G873" s="1">
        <v>4</v>
      </c>
      <c r="H873" s="1">
        <v>11827.62</v>
      </c>
      <c r="I873" s="1">
        <v>0.15</v>
      </c>
      <c r="J873" s="1">
        <v>5168.8</v>
      </c>
      <c r="K873" s="1" t="s">
        <v>8</v>
      </c>
    </row>
    <row r="874" spans="1:11" ht="15" customHeight="1" x14ac:dyDescent="0.25">
      <c r="A874" s="1">
        <v>10873</v>
      </c>
      <c r="B874" s="2">
        <v>45719</v>
      </c>
      <c r="C874" s="1" t="s">
        <v>18</v>
      </c>
      <c r="D874" s="1" t="s">
        <v>38</v>
      </c>
      <c r="E874" s="1" t="s">
        <v>10</v>
      </c>
      <c r="F874" s="1" t="s">
        <v>12</v>
      </c>
      <c r="G874" s="1">
        <v>6</v>
      </c>
      <c r="H874" s="1">
        <v>34645.11</v>
      </c>
      <c r="I874" s="1">
        <v>0.25</v>
      </c>
      <c r="J874" s="1">
        <v>373.92</v>
      </c>
      <c r="K874" s="1" t="s">
        <v>10</v>
      </c>
    </row>
    <row r="875" spans="1:11" ht="15" customHeight="1" x14ac:dyDescent="0.25">
      <c r="A875" s="1">
        <v>10874</v>
      </c>
      <c r="B875" s="2">
        <v>45802</v>
      </c>
      <c r="C875" s="1" t="s">
        <v>17</v>
      </c>
      <c r="D875" s="1" t="s">
        <v>40</v>
      </c>
      <c r="E875" s="1" t="s">
        <v>10</v>
      </c>
      <c r="F875" s="1" t="s">
        <v>9</v>
      </c>
      <c r="G875" s="1">
        <v>2</v>
      </c>
      <c r="H875" s="1">
        <v>26665.84</v>
      </c>
      <c r="I875" s="1">
        <v>0.2</v>
      </c>
      <c r="J875" s="1">
        <v>9412.84</v>
      </c>
      <c r="K875" s="1" t="s">
        <v>10</v>
      </c>
    </row>
    <row r="876" spans="1:11" ht="15" customHeight="1" x14ac:dyDescent="0.25">
      <c r="A876" s="1">
        <v>10875</v>
      </c>
      <c r="B876" s="2">
        <v>45873</v>
      </c>
      <c r="C876" s="1" t="s">
        <v>22</v>
      </c>
      <c r="D876" s="1" t="s">
        <v>38</v>
      </c>
      <c r="E876" s="1" t="s">
        <v>10</v>
      </c>
      <c r="F876" s="1" t="s">
        <v>9</v>
      </c>
      <c r="G876" s="1">
        <v>3</v>
      </c>
      <c r="H876" s="1">
        <v>7486.35</v>
      </c>
      <c r="I876" s="1">
        <v>0.05</v>
      </c>
      <c r="J876" s="1">
        <v>175.63</v>
      </c>
      <c r="K876" s="1" t="s">
        <v>10</v>
      </c>
    </row>
    <row r="877" spans="1:11" ht="15" customHeight="1" x14ac:dyDescent="0.25">
      <c r="A877" s="1">
        <v>10876</v>
      </c>
      <c r="B877" s="2">
        <v>45660</v>
      </c>
      <c r="C877" s="1" t="s">
        <v>23</v>
      </c>
      <c r="D877" s="1" t="s">
        <v>36</v>
      </c>
      <c r="E877" s="1" t="s">
        <v>10</v>
      </c>
      <c r="F877" s="1" t="s">
        <v>9</v>
      </c>
      <c r="G877" s="1">
        <v>1</v>
      </c>
      <c r="H877" s="1">
        <v>36716.720000000001</v>
      </c>
      <c r="I877" s="1">
        <v>0</v>
      </c>
      <c r="J877" s="1">
        <v>9154.58</v>
      </c>
      <c r="K877" s="1" t="s">
        <v>10</v>
      </c>
    </row>
    <row r="878" spans="1:11" ht="15" customHeight="1" x14ac:dyDescent="0.25">
      <c r="A878" s="1">
        <v>10877</v>
      </c>
      <c r="B878" s="2">
        <v>45817</v>
      </c>
      <c r="C878" s="1" t="s">
        <v>19</v>
      </c>
      <c r="D878" s="1" t="s">
        <v>38</v>
      </c>
      <c r="E878" s="1" t="s">
        <v>10</v>
      </c>
      <c r="F878" s="1" t="s">
        <v>13</v>
      </c>
      <c r="G878" s="1">
        <v>3</v>
      </c>
      <c r="H878" s="1">
        <v>69095.100000000006</v>
      </c>
      <c r="I878" s="1">
        <v>0.15</v>
      </c>
      <c r="J878" s="1">
        <v>10724.99</v>
      </c>
      <c r="K878" s="1" t="s">
        <v>10</v>
      </c>
    </row>
    <row r="879" spans="1:11" ht="15" customHeight="1" x14ac:dyDescent="0.25">
      <c r="A879" s="1">
        <v>10878</v>
      </c>
      <c r="B879" s="2">
        <v>45884</v>
      </c>
      <c r="C879" s="1" t="s">
        <v>17</v>
      </c>
      <c r="D879" s="1" t="s">
        <v>38</v>
      </c>
      <c r="E879" s="1" t="s">
        <v>10</v>
      </c>
      <c r="F879" s="1" t="s">
        <v>9</v>
      </c>
      <c r="G879" s="1">
        <v>7</v>
      </c>
      <c r="H879" s="1">
        <v>3484.4</v>
      </c>
      <c r="I879" s="1">
        <v>0.1</v>
      </c>
      <c r="J879" s="1">
        <v>5222.4399999999996</v>
      </c>
      <c r="K879" s="1" t="s">
        <v>10</v>
      </c>
    </row>
    <row r="880" spans="1:11" ht="15" customHeight="1" x14ac:dyDescent="0.25">
      <c r="A880" s="1">
        <v>10879</v>
      </c>
      <c r="B880" s="2">
        <v>45926</v>
      </c>
      <c r="C880" s="1" t="s">
        <v>23</v>
      </c>
      <c r="D880" s="1" t="s">
        <v>35</v>
      </c>
      <c r="E880" s="1" t="s">
        <v>10</v>
      </c>
      <c r="F880" s="1" t="s">
        <v>11</v>
      </c>
      <c r="G880" s="1">
        <v>6</v>
      </c>
      <c r="H880" s="1">
        <v>22213.84</v>
      </c>
      <c r="I880" s="1">
        <v>0.05</v>
      </c>
      <c r="J880" s="1">
        <v>6449.73</v>
      </c>
      <c r="K880" s="1" t="s">
        <v>10</v>
      </c>
    </row>
    <row r="881" spans="1:11" ht="15" customHeight="1" x14ac:dyDescent="0.25">
      <c r="A881" s="1">
        <v>10880</v>
      </c>
      <c r="B881" s="2">
        <v>45777</v>
      </c>
      <c r="C881" s="1" t="s">
        <v>19</v>
      </c>
      <c r="D881" s="1" t="s">
        <v>35</v>
      </c>
      <c r="E881" s="1" t="s">
        <v>10</v>
      </c>
      <c r="F881" s="1" t="s">
        <v>11</v>
      </c>
      <c r="G881" s="1">
        <v>1</v>
      </c>
      <c r="H881" s="1">
        <v>15961.8</v>
      </c>
      <c r="I881" s="1">
        <v>0.1</v>
      </c>
      <c r="J881" s="1">
        <v>5749.95</v>
      </c>
      <c r="K881" s="1" t="s">
        <v>10</v>
      </c>
    </row>
    <row r="882" spans="1:11" ht="15" customHeight="1" x14ac:dyDescent="0.25">
      <c r="A882" s="1">
        <v>10881</v>
      </c>
      <c r="B882" s="2">
        <v>45746</v>
      </c>
      <c r="C882" s="1" t="s">
        <v>23</v>
      </c>
      <c r="D882" s="1" t="s">
        <v>35</v>
      </c>
      <c r="E882" s="1" t="s">
        <v>10</v>
      </c>
      <c r="F882" s="1" t="s">
        <v>9</v>
      </c>
      <c r="G882" s="1">
        <v>4</v>
      </c>
      <c r="H882" s="1">
        <v>18241.93</v>
      </c>
      <c r="I882" s="1">
        <v>0.15</v>
      </c>
      <c r="J882" s="1">
        <v>4701.04</v>
      </c>
      <c r="K882" s="1" t="s">
        <v>10</v>
      </c>
    </row>
    <row r="883" spans="1:11" ht="15" customHeight="1" x14ac:dyDescent="0.25">
      <c r="A883" s="1">
        <v>10882</v>
      </c>
      <c r="B883" s="2">
        <v>45986</v>
      </c>
      <c r="C883" s="1" t="s">
        <v>19</v>
      </c>
      <c r="D883" s="1" t="s">
        <v>39</v>
      </c>
      <c r="E883" s="1" t="s">
        <v>10</v>
      </c>
      <c r="F883" s="1" t="s">
        <v>11</v>
      </c>
      <c r="G883" s="1">
        <v>6</v>
      </c>
      <c r="H883" s="1">
        <v>68178.37</v>
      </c>
      <c r="I883" s="1">
        <v>0.1</v>
      </c>
      <c r="J883" s="1">
        <v>10654.72</v>
      </c>
      <c r="K883" s="1" t="s">
        <v>10</v>
      </c>
    </row>
    <row r="884" spans="1:11" ht="15" customHeight="1" x14ac:dyDescent="0.25">
      <c r="A884" s="1">
        <v>10883</v>
      </c>
      <c r="B884" s="2">
        <v>45725</v>
      </c>
      <c r="C884" s="1" t="s">
        <v>21</v>
      </c>
      <c r="D884" s="1" t="s">
        <v>36</v>
      </c>
      <c r="E884" s="1" t="s">
        <v>10</v>
      </c>
      <c r="F884" s="1" t="s">
        <v>13</v>
      </c>
      <c r="G884" s="1">
        <v>4</v>
      </c>
      <c r="H884" s="1">
        <v>35371.14</v>
      </c>
      <c r="I884" s="1">
        <v>0.05</v>
      </c>
      <c r="J884" s="1">
        <v>10732.51</v>
      </c>
      <c r="K884" s="1" t="s">
        <v>10</v>
      </c>
    </row>
    <row r="885" spans="1:11" ht="15" customHeight="1" x14ac:dyDescent="0.25">
      <c r="A885" s="1">
        <v>10884</v>
      </c>
      <c r="B885" s="2">
        <v>46014</v>
      </c>
      <c r="C885" s="1" t="s">
        <v>23</v>
      </c>
      <c r="D885" s="1" t="s">
        <v>37</v>
      </c>
      <c r="E885" s="1" t="s">
        <v>8</v>
      </c>
      <c r="F885" s="1" t="s">
        <v>11</v>
      </c>
      <c r="G885" s="1">
        <v>5</v>
      </c>
      <c r="H885" s="1">
        <v>35239.31</v>
      </c>
      <c r="I885" s="1">
        <v>0.15</v>
      </c>
      <c r="J885" s="1">
        <v>4063.01</v>
      </c>
      <c r="K885" s="1" t="s">
        <v>8</v>
      </c>
    </row>
    <row r="886" spans="1:11" ht="15" customHeight="1" x14ac:dyDescent="0.25">
      <c r="A886" s="1">
        <v>10885</v>
      </c>
      <c r="B886" s="2">
        <v>45755</v>
      </c>
      <c r="C886" s="1" t="s">
        <v>18</v>
      </c>
      <c r="D886" s="1" t="s">
        <v>37</v>
      </c>
      <c r="E886" s="1" t="s">
        <v>8</v>
      </c>
      <c r="F886" s="1" t="s">
        <v>13</v>
      </c>
      <c r="G886" s="1">
        <v>3</v>
      </c>
      <c r="H886" s="1">
        <v>57162.89</v>
      </c>
      <c r="I886" s="1">
        <v>0</v>
      </c>
      <c r="J886" s="1">
        <v>7400.08</v>
      </c>
      <c r="K886" s="1" t="s">
        <v>8</v>
      </c>
    </row>
    <row r="887" spans="1:11" ht="15" customHeight="1" x14ac:dyDescent="0.25">
      <c r="A887" s="1">
        <v>10886</v>
      </c>
      <c r="B887" s="2">
        <v>45924</v>
      </c>
      <c r="C887" s="1" t="s">
        <v>25</v>
      </c>
      <c r="D887" s="1" t="s">
        <v>35</v>
      </c>
      <c r="E887" s="1" t="s">
        <v>10</v>
      </c>
      <c r="F887" s="1" t="s">
        <v>12</v>
      </c>
      <c r="G887" s="1">
        <v>1</v>
      </c>
      <c r="H887" s="1">
        <v>12009.67</v>
      </c>
      <c r="I887" s="1">
        <v>0.05</v>
      </c>
      <c r="J887" s="1">
        <v>11126.55</v>
      </c>
      <c r="K887" s="1" t="s">
        <v>10</v>
      </c>
    </row>
    <row r="888" spans="1:11" ht="15" customHeight="1" x14ac:dyDescent="0.25">
      <c r="A888" s="1">
        <v>10887</v>
      </c>
      <c r="B888" s="2">
        <v>45762</v>
      </c>
      <c r="C888" s="1" t="s">
        <v>22</v>
      </c>
      <c r="D888" s="1" t="s">
        <v>40</v>
      </c>
      <c r="E888" s="1" t="s">
        <v>10</v>
      </c>
      <c r="F888" s="1" t="s">
        <v>12</v>
      </c>
      <c r="G888" s="1">
        <v>4</v>
      </c>
      <c r="H888" s="1">
        <v>36801.269999999997</v>
      </c>
      <c r="I888" s="1">
        <v>0.2</v>
      </c>
      <c r="J888" s="1">
        <v>11546.6</v>
      </c>
      <c r="K888" s="1" t="s">
        <v>10</v>
      </c>
    </row>
    <row r="889" spans="1:11" ht="15" customHeight="1" x14ac:dyDescent="0.25">
      <c r="A889" s="1">
        <v>10888</v>
      </c>
      <c r="B889" s="2">
        <v>45980</v>
      </c>
      <c r="C889" s="1" t="s">
        <v>19</v>
      </c>
      <c r="D889" s="1" t="s">
        <v>39</v>
      </c>
      <c r="E889" s="1" t="s">
        <v>10</v>
      </c>
      <c r="F889" s="1" t="s">
        <v>12</v>
      </c>
      <c r="G889" s="1">
        <v>2</v>
      </c>
      <c r="H889" s="1">
        <v>32533.9</v>
      </c>
      <c r="I889" s="1">
        <v>0.25</v>
      </c>
      <c r="J889" s="1">
        <v>6132.06</v>
      </c>
      <c r="K889" s="1" t="s">
        <v>10</v>
      </c>
    </row>
    <row r="890" spans="1:11" ht="15" customHeight="1" x14ac:dyDescent="0.25">
      <c r="A890" s="1">
        <v>10889</v>
      </c>
      <c r="B890" s="2">
        <v>45780</v>
      </c>
      <c r="C890" s="1" t="s">
        <v>21</v>
      </c>
      <c r="D890" s="1" t="s">
        <v>34</v>
      </c>
      <c r="E890" s="1" t="s">
        <v>10</v>
      </c>
      <c r="F890" s="1" t="s">
        <v>12</v>
      </c>
      <c r="G890" s="1">
        <v>4</v>
      </c>
      <c r="H890" s="1">
        <v>44969.85</v>
      </c>
      <c r="I890" s="1">
        <v>0.05</v>
      </c>
      <c r="J890" s="1">
        <v>5461.26</v>
      </c>
      <c r="K890" s="1" t="s">
        <v>10</v>
      </c>
    </row>
    <row r="891" spans="1:11" ht="15" customHeight="1" x14ac:dyDescent="0.25">
      <c r="A891" s="1">
        <v>10890</v>
      </c>
      <c r="B891" s="2">
        <v>45686</v>
      </c>
      <c r="C891" s="1" t="s">
        <v>23</v>
      </c>
      <c r="D891" s="1" t="s">
        <v>40</v>
      </c>
      <c r="E891" s="1" t="s">
        <v>10</v>
      </c>
      <c r="F891" s="1" t="s">
        <v>11</v>
      </c>
      <c r="G891" s="1">
        <v>2</v>
      </c>
      <c r="H891" s="1">
        <v>74967.05</v>
      </c>
      <c r="I891" s="1">
        <v>0.15</v>
      </c>
      <c r="J891" s="1">
        <v>3380.4</v>
      </c>
      <c r="K891" s="1" t="s">
        <v>10</v>
      </c>
    </row>
    <row r="892" spans="1:11" ht="15" customHeight="1" x14ac:dyDescent="0.25">
      <c r="A892" s="1">
        <v>10891</v>
      </c>
      <c r="B892" s="2">
        <v>45794</v>
      </c>
      <c r="C892" s="1" t="s">
        <v>18</v>
      </c>
      <c r="D892" s="1" t="s">
        <v>33</v>
      </c>
      <c r="E892" s="1" t="s">
        <v>8</v>
      </c>
      <c r="F892" s="1" t="s">
        <v>9</v>
      </c>
      <c r="G892" s="1">
        <v>6</v>
      </c>
      <c r="H892" s="1">
        <v>57823.94</v>
      </c>
      <c r="I892" s="1">
        <v>0.25</v>
      </c>
      <c r="J892" s="1">
        <v>11508.52</v>
      </c>
      <c r="K892" s="1" t="s">
        <v>8</v>
      </c>
    </row>
    <row r="893" spans="1:11" ht="15" customHeight="1" x14ac:dyDescent="0.25">
      <c r="A893" s="1">
        <v>10892</v>
      </c>
      <c r="B893" s="2">
        <v>45852</v>
      </c>
      <c r="C893" s="1" t="s">
        <v>25</v>
      </c>
      <c r="D893" s="1" t="s">
        <v>33</v>
      </c>
      <c r="E893" s="1" t="s">
        <v>8</v>
      </c>
      <c r="F893" s="1" t="s">
        <v>11</v>
      </c>
      <c r="G893" s="1">
        <v>1</v>
      </c>
      <c r="H893" s="1">
        <v>30140.99</v>
      </c>
      <c r="I893" s="1">
        <v>0.05</v>
      </c>
      <c r="J893" s="1">
        <v>1756.63</v>
      </c>
      <c r="K893" s="1" t="s">
        <v>8</v>
      </c>
    </row>
    <row r="894" spans="1:11" ht="15" customHeight="1" x14ac:dyDescent="0.25">
      <c r="A894" s="1">
        <v>10893</v>
      </c>
      <c r="B894" s="2">
        <v>45883</v>
      </c>
      <c r="C894" s="1" t="s">
        <v>19</v>
      </c>
      <c r="D894" s="1" t="s">
        <v>40</v>
      </c>
      <c r="E894" s="1" t="s">
        <v>10</v>
      </c>
      <c r="F894" s="1" t="s">
        <v>13</v>
      </c>
      <c r="G894" s="1">
        <v>4</v>
      </c>
      <c r="H894" s="1">
        <v>62152.7</v>
      </c>
      <c r="I894" s="1">
        <v>0</v>
      </c>
      <c r="J894" s="1">
        <v>6978.96</v>
      </c>
      <c r="K894" s="1" t="s">
        <v>10</v>
      </c>
    </row>
    <row r="895" spans="1:11" ht="15" customHeight="1" x14ac:dyDescent="0.25">
      <c r="A895" s="1">
        <v>10894</v>
      </c>
      <c r="B895" s="2">
        <v>45989</v>
      </c>
      <c r="C895" s="1" t="s">
        <v>23</v>
      </c>
      <c r="D895" s="1" t="s">
        <v>35</v>
      </c>
      <c r="E895" s="1" t="s">
        <v>10</v>
      </c>
      <c r="F895" s="1" t="s">
        <v>11</v>
      </c>
      <c r="G895" s="1">
        <v>7</v>
      </c>
      <c r="H895" s="1">
        <v>13217.77</v>
      </c>
      <c r="I895" s="1">
        <v>0</v>
      </c>
      <c r="J895" s="1">
        <v>3426.48</v>
      </c>
      <c r="K895" s="1" t="s">
        <v>10</v>
      </c>
    </row>
    <row r="896" spans="1:11" ht="15" customHeight="1" x14ac:dyDescent="0.25">
      <c r="A896" s="1">
        <v>10895</v>
      </c>
      <c r="B896" s="2">
        <v>45827</v>
      </c>
      <c r="C896" s="1" t="s">
        <v>23</v>
      </c>
      <c r="D896" s="1" t="s">
        <v>34</v>
      </c>
      <c r="E896" s="1" t="s">
        <v>10</v>
      </c>
      <c r="F896" s="1" t="s">
        <v>11</v>
      </c>
      <c r="G896" s="1">
        <v>4</v>
      </c>
      <c r="H896" s="1">
        <v>2769.54</v>
      </c>
      <c r="I896" s="1">
        <v>0.2</v>
      </c>
      <c r="J896" s="1">
        <v>3384.15</v>
      </c>
      <c r="K896" s="1" t="s">
        <v>10</v>
      </c>
    </row>
    <row r="897" spans="1:11" ht="15" customHeight="1" x14ac:dyDescent="0.25">
      <c r="A897" s="1">
        <v>10896</v>
      </c>
      <c r="B897" s="2">
        <v>45666</v>
      </c>
      <c r="C897" s="1" t="s">
        <v>19</v>
      </c>
      <c r="D897" s="1" t="s">
        <v>34</v>
      </c>
      <c r="E897" s="1" t="s">
        <v>10</v>
      </c>
      <c r="F897" s="1" t="s">
        <v>13</v>
      </c>
      <c r="G897" s="1">
        <v>7</v>
      </c>
      <c r="H897" s="1">
        <v>15731.4</v>
      </c>
      <c r="I897" s="1">
        <v>0.1</v>
      </c>
      <c r="J897" s="1">
        <v>4889.37</v>
      </c>
      <c r="K897" s="1" t="s">
        <v>10</v>
      </c>
    </row>
    <row r="898" spans="1:11" ht="15" customHeight="1" x14ac:dyDescent="0.25">
      <c r="A898" s="1">
        <v>10897</v>
      </c>
      <c r="B898" s="2">
        <v>45697</v>
      </c>
      <c r="C898" s="1" t="s">
        <v>17</v>
      </c>
      <c r="D898" s="1" t="s">
        <v>39</v>
      </c>
      <c r="E898" s="1" t="s">
        <v>10</v>
      </c>
      <c r="F898" s="1" t="s">
        <v>12</v>
      </c>
      <c r="G898" s="1">
        <v>1</v>
      </c>
      <c r="H898" s="1">
        <v>25860.66</v>
      </c>
      <c r="I898" s="1">
        <v>0.25</v>
      </c>
      <c r="J898" s="1">
        <v>11985.58</v>
      </c>
      <c r="K898" s="1" t="s">
        <v>10</v>
      </c>
    </row>
    <row r="899" spans="1:11" ht="15" customHeight="1" x14ac:dyDescent="0.25">
      <c r="A899" s="1">
        <v>10898</v>
      </c>
      <c r="B899" s="2">
        <v>45682</v>
      </c>
      <c r="C899" s="1" t="s">
        <v>17</v>
      </c>
      <c r="D899" s="1" t="s">
        <v>34</v>
      </c>
      <c r="E899" s="1" t="s">
        <v>10</v>
      </c>
      <c r="F899" s="1" t="s">
        <v>12</v>
      </c>
      <c r="G899" s="1">
        <v>4</v>
      </c>
      <c r="H899" s="1">
        <v>38538.269999999997</v>
      </c>
      <c r="I899" s="1">
        <v>0.15</v>
      </c>
      <c r="J899" s="1">
        <v>706.85</v>
      </c>
      <c r="K899" s="1" t="s">
        <v>10</v>
      </c>
    </row>
    <row r="900" spans="1:11" ht="15" customHeight="1" x14ac:dyDescent="0.25">
      <c r="A900" s="1">
        <v>10899</v>
      </c>
      <c r="B900" s="2">
        <v>45918</v>
      </c>
      <c r="C900" s="1" t="s">
        <v>18</v>
      </c>
      <c r="D900" s="1" t="s">
        <v>33</v>
      </c>
      <c r="E900" s="1" t="s">
        <v>8</v>
      </c>
      <c r="F900" s="1" t="s">
        <v>12</v>
      </c>
      <c r="G900" s="1">
        <v>2</v>
      </c>
      <c r="H900" s="1">
        <v>46327.12</v>
      </c>
      <c r="I900" s="1">
        <v>0.15</v>
      </c>
      <c r="J900" s="1">
        <v>6963.57</v>
      </c>
      <c r="K900" s="1" t="s">
        <v>8</v>
      </c>
    </row>
    <row r="901" spans="1:11" ht="15" customHeight="1" x14ac:dyDescent="0.25">
      <c r="A901" s="1">
        <v>10900</v>
      </c>
      <c r="B901" s="2">
        <v>45883</v>
      </c>
      <c r="C901" s="1" t="s">
        <v>25</v>
      </c>
      <c r="D901" s="1" t="s">
        <v>36</v>
      </c>
      <c r="E901" s="1" t="s">
        <v>10</v>
      </c>
      <c r="F901" s="1" t="s">
        <v>9</v>
      </c>
      <c r="G901" s="1">
        <v>4</v>
      </c>
      <c r="H901" s="1">
        <v>68340.13</v>
      </c>
      <c r="I901" s="1">
        <v>0.1</v>
      </c>
      <c r="J901" s="1">
        <v>1036.74</v>
      </c>
      <c r="K901" s="1" t="s">
        <v>10</v>
      </c>
    </row>
    <row r="902" spans="1:11" ht="15" customHeight="1" x14ac:dyDescent="0.25">
      <c r="A902" s="1">
        <v>10901</v>
      </c>
      <c r="B902" s="2">
        <v>45781</v>
      </c>
      <c r="C902" s="1" t="s">
        <v>19</v>
      </c>
      <c r="D902" s="1" t="s">
        <v>35</v>
      </c>
      <c r="E902" s="1" t="s">
        <v>10</v>
      </c>
      <c r="F902" s="1" t="s">
        <v>13</v>
      </c>
      <c r="G902" s="1">
        <v>3</v>
      </c>
      <c r="H902" s="1">
        <v>38484.120000000003</v>
      </c>
      <c r="I902" s="1">
        <v>0</v>
      </c>
      <c r="J902" s="1">
        <v>1896.52</v>
      </c>
      <c r="K902" s="1" t="s">
        <v>10</v>
      </c>
    </row>
    <row r="903" spans="1:11" ht="15" customHeight="1" x14ac:dyDescent="0.25">
      <c r="A903" s="1">
        <v>10902</v>
      </c>
      <c r="B903" s="2">
        <v>45695</v>
      </c>
      <c r="C903" s="1" t="s">
        <v>18</v>
      </c>
      <c r="D903" s="1" t="s">
        <v>34</v>
      </c>
      <c r="E903" s="1" t="s">
        <v>10</v>
      </c>
      <c r="F903" s="1" t="s">
        <v>13</v>
      </c>
      <c r="G903" s="1">
        <v>6</v>
      </c>
      <c r="H903" s="1">
        <v>37845.040000000001</v>
      </c>
      <c r="I903" s="1">
        <v>0</v>
      </c>
      <c r="J903" s="1">
        <v>5302.78</v>
      </c>
      <c r="K903" s="1" t="s">
        <v>10</v>
      </c>
    </row>
    <row r="904" spans="1:11" ht="15" customHeight="1" x14ac:dyDescent="0.25">
      <c r="A904" s="1">
        <v>10903</v>
      </c>
      <c r="B904" s="2">
        <v>45985</v>
      </c>
      <c r="C904" s="1" t="s">
        <v>18</v>
      </c>
      <c r="D904" s="1" t="s">
        <v>39</v>
      </c>
      <c r="E904" s="1" t="s">
        <v>10</v>
      </c>
      <c r="F904" s="1" t="s">
        <v>11</v>
      </c>
      <c r="G904" s="1">
        <v>5</v>
      </c>
      <c r="H904" s="1">
        <v>4243.1000000000004</v>
      </c>
      <c r="I904" s="1">
        <v>0.05</v>
      </c>
      <c r="J904" s="1">
        <v>6150</v>
      </c>
      <c r="K904" s="1" t="s">
        <v>10</v>
      </c>
    </row>
    <row r="905" spans="1:11" ht="15" customHeight="1" x14ac:dyDescent="0.25">
      <c r="A905" s="1">
        <v>10904</v>
      </c>
      <c r="B905" s="2">
        <v>45908</v>
      </c>
      <c r="C905" s="1" t="s">
        <v>20</v>
      </c>
      <c r="D905" s="1" t="s">
        <v>33</v>
      </c>
      <c r="E905" s="1" t="s">
        <v>8</v>
      </c>
      <c r="F905" s="1" t="s">
        <v>9</v>
      </c>
      <c r="G905" s="1">
        <v>2</v>
      </c>
      <c r="H905" s="1">
        <v>3100.91</v>
      </c>
      <c r="I905" s="1">
        <v>0.2</v>
      </c>
      <c r="J905" s="1">
        <v>3142.57</v>
      </c>
      <c r="K905" s="1" t="s">
        <v>8</v>
      </c>
    </row>
    <row r="906" spans="1:11" ht="15" customHeight="1" x14ac:dyDescent="0.25">
      <c r="A906" s="1">
        <v>10905</v>
      </c>
      <c r="B906" s="2">
        <v>45833</v>
      </c>
      <c r="C906" s="1" t="s">
        <v>23</v>
      </c>
      <c r="D906" s="1" t="s">
        <v>36</v>
      </c>
      <c r="E906" s="1" t="s">
        <v>10</v>
      </c>
      <c r="F906" s="1" t="s">
        <v>12</v>
      </c>
      <c r="G906" s="1">
        <v>3</v>
      </c>
      <c r="H906" s="1">
        <v>41561.42</v>
      </c>
      <c r="I906" s="1">
        <v>0.25</v>
      </c>
      <c r="J906" s="1">
        <v>3831.66</v>
      </c>
      <c r="K906" s="1" t="s">
        <v>10</v>
      </c>
    </row>
    <row r="907" spans="1:11" ht="15" customHeight="1" x14ac:dyDescent="0.25">
      <c r="A907" s="1">
        <v>10906</v>
      </c>
      <c r="B907" s="2">
        <v>45747</v>
      </c>
      <c r="C907" s="1" t="s">
        <v>22</v>
      </c>
      <c r="D907" s="1" t="s">
        <v>38</v>
      </c>
      <c r="E907" s="1" t="s">
        <v>10</v>
      </c>
      <c r="F907" s="1" t="s">
        <v>9</v>
      </c>
      <c r="G907" s="1">
        <v>7</v>
      </c>
      <c r="H907" s="1">
        <v>33144.31</v>
      </c>
      <c r="I907" s="1">
        <v>0.2</v>
      </c>
      <c r="J907" s="1">
        <v>1089.26</v>
      </c>
      <c r="K907" s="1" t="s">
        <v>10</v>
      </c>
    </row>
    <row r="908" spans="1:11" ht="15" customHeight="1" x14ac:dyDescent="0.25">
      <c r="A908" s="1">
        <v>10907</v>
      </c>
      <c r="B908" s="2">
        <v>45694</v>
      </c>
      <c r="C908" s="1" t="s">
        <v>23</v>
      </c>
      <c r="D908" s="1" t="s">
        <v>38</v>
      </c>
      <c r="E908" s="1" t="s">
        <v>10</v>
      </c>
      <c r="F908" s="1" t="s">
        <v>13</v>
      </c>
      <c r="G908" s="1">
        <v>6</v>
      </c>
      <c r="H908" s="1">
        <v>63018.94</v>
      </c>
      <c r="I908" s="1">
        <v>0.2</v>
      </c>
      <c r="J908" s="1">
        <v>3673.48</v>
      </c>
      <c r="K908" s="1" t="s">
        <v>10</v>
      </c>
    </row>
    <row r="909" spans="1:11" ht="15" customHeight="1" x14ac:dyDescent="0.25">
      <c r="A909" s="1">
        <v>10908</v>
      </c>
      <c r="B909" s="2">
        <v>45973</v>
      </c>
      <c r="C909" s="1" t="s">
        <v>17</v>
      </c>
      <c r="D909" s="1" t="s">
        <v>36</v>
      </c>
      <c r="E909" s="1" t="s">
        <v>10</v>
      </c>
      <c r="F909" s="1" t="s">
        <v>13</v>
      </c>
      <c r="G909" s="1">
        <v>1</v>
      </c>
      <c r="H909" s="1">
        <v>12470.63</v>
      </c>
      <c r="I909" s="1">
        <v>0.05</v>
      </c>
      <c r="J909" s="1">
        <v>11600.37</v>
      </c>
      <c r="K909" s="1" t="s">
        <v>10</v>
      </c>
    </row>
    <row r="910" spans="1:11" ht="15" customHeight="1" x14ac:dyDescent="0.25">
      <c r="A910" s="1">
        <v>10909</v>
      </c>
      <c r="B910" s="2">
        <v>45833</v>
      </c>
      <c r="C910" s="1" t="s">
        <v>25</v>
      </c>
      <c r="D910" s="1" t="s">
        <v>33</v>
      </c>
      <c r="E910" s="1" t="s">
        <v>8</v>
      </c>
      <c r="F910" s="1" t="s">
        <v>11</v>
      </c>
      <c r="G910" s="1">
        <v>2</v>
      </c>
      <c r="H910" s="1">
        <v>2360.39</v>
      </c>
      <c r="I910" s="1">
        <v>0.2</v>
      </c>
      <c r="J910" s="1">
        <v>11339.25</v>
      </c>
      <c r="K910" s="1" t="s">
        <v>8</v>
      </c>
    </row>
    <row r="911" spans="1:11" ht="15" customHeight="1" x14ac:dyDescent="0.25">
      <c r="A911" s="1">
        <v>10910</v>
      </c>
      <c r="B911" s="2">
        <v>45941</v>
      </c>
      <c r="C911" s="1" t="s">
        <v>23</v>
      </c>
      <c r="D911" s="1" t="s">
        <v>39</v>
      </c>
      <c r="E911" s="1" t="s">
        <v>10</v>
      </c>
      <c r="F911" s="1" t="s">
        <v>11</v>
      </c>
      <c r="G911" s="1">
        <v>5</v>
      </c>
      <c r="H911" s="1">
        <v>33953.39</v>
      </c>
      <c r="I911" s="1">
        <v>0.1</v>
      </c>
      <c r="J911" s="1">
        <v>4051.8</v>
      </c>
      <c r="K911" s="1" t="s">
        <v>10</v>
      </c>
    </row>
    <row r="912" spans="1:11" ht="15" customHeight="1" x14ac:dyDescent="0.25">
      <c r="A912" s="1">
        <v>10911</v>
      </c>
      <c r="B912" s="2">
        <v>45738</v>
      </c>
      <c r="C912" s="1" t="s">
        <v>19</v>
      </c>
      <c r="D912" s="1" t="s">
        <v>36</v>
      </c>
      <c r="E912" s="1" t="s">
        <v>10</v>
      </c>
      <c r="F912" s="1" t="s">
        <v>13</v>
      </c>
      <c r="G912" s="1">
        <v>6</v>
      </c>
      <c r="H912" s="1">
        <v>18192.150000000001</v>
      </c>
      <c r="I912" s="1">
        <v>0.05</v>
      </c>
      <c r="J912" s="1">
        <v>6871.7</v>
      </c>
      <c r="K912" s="1" t="s">
        <v>10</v>
      </c>
    </row>
    <row r="913" spans="1:11" ht="15" customHeight="1" x14ac:dyDescent="0.25">
      <c r="A913" s="1">
        <v>10912</v>
      </c>
      <c r="B913" s="2">
        <v>45771</v>
      </c>
      <c r="C913" s="1" t="s">
        <v>18</v>
      </c>
      <c r="D913" s="1" t="s">
        <v>35</v>
      </c>
      <c r="E913" s="1" t="s">
        <v>10</v>
      </c>
      <c r="F913" s="1" t="s">
        <v>12</v>
      </c>
      <c r="G913" s="1">
        <v>7</v>
      </c>
      <c r="H913" s="1">
        <v>4196.2700000000004</v>
      </c>
      <c r="I913" s="1">
        <v>0.1</v>
      </c>
      <c r="J913" s="1">
        <v>10919.66</v>
      </c>
      <c r="K913" s="1" t="s">
        <v>10</v>
      </c>
    </row>
    <row r="914" spans="1:11" ht="15" customHeight="1" x14ac:dyDescent="0.25">
      <c r="A914" s="1">
        <v>10913</v>
      </c>
      <c r="B914" s="2">
        <v>45697</v>
      </c>
      <c r="C914" s="1" t="s">
        <v>19</v>
      </c>
      <c r="D914" s="1" t="s">
        <v>35</v>
      </c>
      <c r="E914" s="1" t="s">
        <v>10</v>
      </c>
      <c r="F914" s="1" t="s">
        <v>12</v>
      </c>
      <c r="G914" s="1">
        <v>5</v>
      </c>
      <c r="H914" s="1">
        <v>54482.57</v>
      </c>
      <c r="I914" s="1">
        <v>0.05</v>
      </c>
      <c r="J914" s="1">
        <v>123.9</v>
      </c>
      <c r="K914" s="1" t="s">
        <v>10</v>
      </c>
    </row>
    <row r="915" spans="1:11" ht="15" customHeight="1" x14ac:dyDescent="0.25">
      <c r="A915" s="1">
        <v>10914</v>
      </c>
      <c r="B915" s="2">
        <v>45958</v>
      </c>
      <c r="C915" s="1" t="s">
        <v>20</v>
      </c>
      <c r="D915" s="1" t="s">
        <v>38</v>
      </c>
      <c r="E915" s="1" t="s">
        <v>10</v>
      </c>
      <c r="F915" s="1" t="s">
        <v>9</v>
      </c>
      <c r="G915" s="1">
        <v>1</v>
      </c>
      <c r="H915" s="1">
        <v>8813.68</v>
      </c>
      <c r="I915" s="1">
        <v>0.2</v>
      </c>
      <c r="J915" s="1">
        <v>9737.67</v>
      </c>
      <c r="K915" s="1" t="s">
        <v>10</v>
      </c>
    </row>
    <row r="916" spans="1:11" ht="15" customHeight="1" x14ac:dyDescent="0.25">
      <c r="A916" s="1">
        <v>10915</v>
      </c>
      <c r="B916" s="2">
        <v>45881</v>
      </c>
      <c r="C916" s="1" t="s">
        <v>25</v>
      </c>
      <c r="D916" s="1" t="s">
        <v>34</v>
      </c>
      <c r="E916" s="1" t="s">
        <v>10</v>
      </c>
      <c r="F916" s="1" t="s">
        <v>13</v>
      </c>
      <c r="G916" s="1">
        <v>1</v>
      </c>
      <c r="H916" s="1">
        <v>45819.8</v>
      </c>
      <c r="I916" s="1">
        <v>0.1</v>
      </c>
      <c r="J916" s="1">
        <v>11383.02</v>
      </c>
      <c r="K916" s="1" t="s">
        <v>10</v>
      </c>
    </row>
    <row r="917" spans="1:11" ht="15" customHeight="1" x14ac:dyDescent="0.25">
      <c r="A917" s="1">
        <v>10916</v>
      </c>
      <c r="B917" s="2">
        <v>45975</v>
      </c>
      <c r="C917" s="1" t="s">
        <v>18</v>
      </c>
      <c r="D917" s="1" t="s">
        <v>39</v>
      </c>
      <c r="E917" s="1" t="s">
        <v>10</v>
      </c>
      <c r="F917" s="1" t="s">
        <v>13</v>
      </c>
      <c r="G917" s="1">
        <v>7</v>
      </c>
      <c r="H917" s="1">
        <v>21438.21</v>
      </c>
      <c r="I917" s="1">
        <v>0.1</v>
      </c>
      <c r="J917" s="1">
        <v>1141.3399999999999</v>
      </c>
      <c r="K917" s="1" t="s">
        <v>10</v>
      </c>
    </row>
    <row r="918" spans="1:11" ht="15" customHeight="1" x14ac:dyDescent="0.25">
      <c r="A918" s="1">
        <v>10917</v>
      </c>
      <c r="B918" s="2">
        <v>46006</v>
      </c>
      <c r="C918" s="1" t="s">
        <v>19</v>
      </c>
      <c r="D918" s="1" t="s">
        <v>38</v>
      </c>
      <c r="E918" s="1" t="s">
        <v>10</v>
      </c>
      <c r="F918" s="1" t="s">
        <v>12</v>
      </c>
      <c r="G918" s="1">
        <v>2</v>
      </c>
      <c r="H918" s="1">
        <v>13425.46</v>
      </c>
      <c r="I918" s="1">
        <v>0.1</v>
      </c>
      <c r="J918" s="1">
        <v>1979.3</v>
      </c>
      <c r="K918" s="1" t="s">
        <v>10</v>
      </c>
    </row>
    <row r="919" spans="1:11" ht="15" customHeight="1" x14ac:dyDescent="0.25">
      <c r="A919" s="1">
        <v>10918</v>
      </c>
      <c r="B919" s="2">
        <v>45772</v>
      </c>
      <c r="C919" s="1" t="s">
        <v>17</v>
      </c>
      <c r="D919" s="1" t="s">
        <v>34</v>
      </c>
      <c r="E919" s="1" t="s">
        <v>10</v>
      </c>
      <c r="F919" s="1" t="s">
        <v>12</v>
      </c>
      <c r="G919" s="1">
        <v>7</v>
      </c>
      <c r="H919" s="1">
        <v>28791.49</v>
      </c>
      <c r="I919" s="1">
        <v>0.05</v>
      </c>
      <c r="J919" s="1">
        <v>11530.92</v>
      </c>
      <c r="K919" s="1" t="s">
        <v>10</v>
      </c>
    </row>
    <row r="920" spans="1:11" ht="15" customHeight="1" x14ac:dyDescent="0.25">
      <c r="A920" s="1">
        <v>10919</v>
      </c>
      <c r="B920" s="2">
        <v>45843</v>
      </c>
      <c r="C920" s="1" t="s">
        <v>22</v>
      </c>
      <c r="D920" s="1" t="s">
        <v>34</v>
      </c>
      <c r="E920" s="1" t="s">
        <v>10</v>
      </c>
      <c r="F920" s="1" t="s">
        <v>13</v>
      </c>
      <c r="G920" s="1">
        <v>4</v>
      </c>
      <c r="H920" s="1">
        <v>60207.71</v>
      </c>
      <c r="I920" s="1">
        <v>0.15</v>
      </c>
      <c r="J920" s="1">
        <v>6473.6</v>
      </c>
      <c r="K920" s="1" t="s">
        <v>10</v>
      </c>
    </row>
    <row r="921" spans="1:11" ht="15" customHeight="1" x14ac:dyDescent="0.25">
      <c r="A921" s="1">
        <v>10920</v>
      </c>
      <c r="B921" s="2">
        <v>45980</v>
      </c>
      <c r="C921" s="1" t="s">
        <v>20</v>
      </c>
      <c r="D921" s="1" t="s">
        <v>37</v>
      </c>
      <c r="E921" s="1" t="s">
        <v>8</v>
      </c>
      <c r="F921" s="1" t="s">
        <v>11</v>
      </c>
      <c r="G921" s="1">
        <v>1</v>
      </c>
      <c r="H921" s="1">
        <v>29710.97</v>
      </c>
      <c r="I921" s="1">
        <v>0.2</v>
      </c>
      <c r="J921" s="1">
        <v>219.65</v>
      </c>
      <c r="K921" s="1" t="s">
        <v>8</v>
      </c>
    </row>
    <row r="922" spans="1:11" ht="15" customHeight="1" x14ac:dyDescent="0.25">
      <c r="A922" s="1">
        <v>10921</v>
      </c>
      <c r="B922" s="2">
        <v>45713</v>
      </c>
      <c r="C922" s="1" t="s">
        <v>25</v>
      </c>
      <c r="D922" s="1" t="s">
        <v>35</v>
      </c>
      <c r="E922" s="1" t="s">
        <v>10</v>
      </c>
      <c r="F922" s="1" t="s">
        <v>13</v>
      </c>
      <c r="G922" s="1">
        <v>6</v>
      </c>
      <c r="H922" s="1">
        <v>56432.34</v>
      </c>
      <c r="I922" s="1">
        <v>0.1</v>
      </c>
      <c r="J922" s="1">
        <v>3128.7</v>
      </c>
      <c r="K922" s="1" t="s">
        <v>10</v>
      </c>
    </row>
    <row r="923" spans="1:11" ht="15" customHeight="1" x14ac:dyDescent="0.25">
      <c r="A923" s="1">
        <v>10922</v>
      </c>
      <c r="B923" s="2">
        <v>45697</v>
      </c>
      <c r="C923" s="1" t="s">
        <v>20</v>
      </c>
      <c r="D923" s="1" t="s">
        <v>33</v>
      </c>
      <c r="E923" s="1" t="s">
        <v>8</v>
      </c>
      <c r="F923" s="1" t="s">
        <v>13</v>
      </c>
      <c r="G923" s="1">
        <v>4</v>
      </c>
      <c r="H923" s="1">
        <v>9848.73</v>
      </c>
      <c r="I923" s="1">
        <v>0.25</v>
      </c>
      <c r="J923" s="1">
        <v>5426.83</v>
      </c>
      <c r="K923" s="1" t="s">
        <v>8</v>
      </c>
    </row>
    <row r="924" spans="1:11" ht="15" customHeight="1" x14ac:dyDescent="0.25">
      <c r="A924" s="1">
        <v>10923</v>
      </c>
      <c r="B924" s="2">
        <v>46011</v>
      </c>
      <c r="C924" s="1" t="s">
        <v>17</v>
      </c>
      <c r="D924" s="1" t="s">
        <v>40</v>
      </c>
      <c r="E924" s="1" t="s">
        <v>10</v>
      </c>
      <c r="F924" s="1" t="s">
        <v>12</v>
      </c>
      <c r="G924" s="1">
        <v>3</v>
      </c>
      <c r="H924" s="1">
        <v>58071.47</v>
      </c>
      <c r="I924" s="1">
        <v>0.15</v>
      </c>
      <c r="J924" s="1">
        <v>8330.26</v>
      </c>
      <c r="K924" s="1" t="s">
        <v>10</v>
      </c>
    </row>
    <row r="925" spans="1:11" ht="15" customHeight="1" x14ac:dyDescent="0.25">
      <c r="A925" s="1">
        <v>10924</v>
      </c>
      <c r="B925" s="2">
        <v>45697</v>
      </c>
      <c r="C925" s="1" t="s">
        <v>25</v>
      </c>
      <c r="D925" s="1" t="s">
        <v>33</v>
      </c>
      <c r="E925" s="1" t="s">
        <v>8</v>
      </c>
      <c r="F925" s="1" t="s">
        <v>12</v>
      </c>
      <c r="G925" s="1">
        <v>5</v>
      </c>
      <c r="H925" s="1">
        <v>18151.53</v>
      </c>
      <c r="I925" s="1">
        <v>0.25</v>
      </c>
      <c r="J925" s="1">
        <v>8811.27</v>
      </c>
      <c r="K925" s="1" t="s">
        <v>8</v>
      </c>
    </row>
    <row r="926" spans="1:11" ht="15" customHeight="1" x14ac:dyDescent="0.25">
      <c r="A926" s="1">
        <v>10925</v>
      </c>
      <c r="B926" s="2">
        <v>46004</v>
      </c>
      <c r="C926" s="1" t="s">
        <v>20</v>
      </c>
      <c r="D926" s="1" t="s">
        <v>40</v>
      </c>
      <c r="E926" s="1" t="s">
        <v>10</v>
      </c>
      <c r="F926" s="1" t="s">
        <v>11</v>
      </c>
      <c r="G926" s="1">
        <v>4</v>
      </c>
      <c r="H926" s="1">
        <v>50965.79</v>
      </c>
      <c r="I926" s="1">
        <v>0.2</v>
      </c>
      <c r="J926" s="1">
        <v>11945.29</v>
      </c>
      <c r="K926" s="1" t="s">
        <v>10</v>
      </c>
    </row>
    <row r="927" spans="1:11" ht="15" customHeight="1" x14ac:dyDescent="0.25">
      <c r="A927" s="1">
        <v>10926</v>
      </c>
      <c r="B927" s="2">
        <v>45894</v>
      </c>
      <c r="C927" s="1" t="s">
        <v>21</v>
      </c>
      <c r="D927" s="1" t="s">
        <v>36</v>
      </c>
      <c r="E927" s="1" t="s">
        <v>10</v>
      </c>
      <c r="F927" s="1" t="s">
        <v>11</v>
      </c>
      <c r="G927" s="1">
        <v>5</v>
      </c>
      <c r="H927" s="1">
        <v>42650.73</v>
      </c>
      <c r="I927" s="1">
        <v>0.2</v>
      </c>
      <c r="J927" s="1">
        <v>3485.76</v>
      </c>
      <c r="K927" s="1" t="s">
        <v>10</v>
      </c>
    </row>
    <row r="928" spans="1:11" ht="15" customHeight="1" x14ac:dyDescent="0.25">
      <c r="A928" s="1">
        <v>10927</v>
      </c>
      <c r="B928" s="2">
        <v>45946</v>
      </c>
      <c r="C928" s="1" t="s">
        <v>17</v>
      </c>
      <c r="D928" s="1" t="s">
        <v>35</v>
      </c>
      <c r="E928" s="1" t="s">
        <v>10</v>
      </c>
      <c r="F928" s="1" t="s">
        <v>9</v>
      </c>
      <c r="G928" s="1">
        <v>7</v>
      </c>
      <c r="H928" s="1">
        <v>69721.279999999999</v>
      </c>
      <c r="I928" s="1">
        <v>0.1</v>
      </c>
      <c r="J928" s="1">
        <v>6481.73</v>
      </c>
      <c r="K928" s="1" t="s">
        <v>10</v>
      </c>
    </row>
    <row r="929" spans="1:11" ht="15" customHeight="1" x14ac:dyDescent="0.25">
      <c r="A929" s="1">
        <v>10928</v>
      </c>
      <c r="B929" s="2">
        <v>45919</v>
      </c>
      <c r="C929" s="1" t="s">
        <v>17</v>
      </c>
      <c r="D929" s="1" t="s">
        <v>34</v>
      </c>
      <c r="E929" s="1" t="s">
        <v>10</v>
      </c>
      <c r="F929" s="1" t="s">
        <v>13</v>
      </c>
      <c r="G929" s="1">
        <v>4</v>
      </c>
      <c r="H929" s="1">
        <v>29355.53</v>
      </c>
      <c r="I929" s="1">
        <v>0.1</v>
      </c>
      <c r="J929" s="1">
        <v>6423.22</v>
      </c>
      <c r="K929" s="1" t="s">
        <v>10</v>
      </c>
    </row>
    <row r="930" spans="1:11" ht="15" customHeight="1" x14ac:dyDescent="0.25">
      <c r="A930" s="1">
        <v>10929</v>
      </c>
      <c r="B930" s="2">
        <v>45873</v>
      </c>
      <c r="C930" s="1" t="s">
        <v>17</v>
      </c>
      <c r="D930" s="1" t="s">
        <v>39</v>
      </c>
      <c r="E930" s="1" t="s">
        <v>10</v>
      </c>
      <c r="F930" s="1" t="s">
        <v>12</v>
      </c>
      <c r="G930" s="1">
        <v>7</v>
      </c>
      <c r="H930" s="1">
        <v>5429.31</v>
      </c>
      <c r="I930" s="1">
        <v>0.05</v>
      </c>
      <c r="J930" s="1">
        <v>4897.46</v>
      </c>
      <c r="K930" s="1" t="s">
        <v>10</v>
      </c>
    </row>
    <row r="931" spans="1:11" ht="15" customHeight="1" x14ac:dyDescent="0.25">
      <c r="A931" s="1">
        <v>10930</v>
      </c>
      <c r="B931" s="2">
        <v>45804</v>
      </c>
      <c r="C931" s="1" t="s">
        <v>21</v>
      </c>
      <c r="D931" s="1" t="s">
        <v>40</v>
      </c>
      <c r="E931" s="1" t="s">
        <v>10</v>
      </c>
      <c r="F931" s="1" t="s">
        <v>11</v>
      </c>
      <c r="G931" s="1">
        <v>3</v>
      </c>
      <c r="H931" s="1">
        <v>1927.08</v>
      </c>
      <c r="I931" s="1">
        <v>0.15</v>
      </c>
      <c r="J931" s="1">
        <v>2071.48</v>
      </c>
      <c r="K931" s="1" t="s">
        <v>10</v>
      </c>
    </row>
    <row r="932" spans="1:11" ht="15" customHeight="1" x14ac:dyDescent="0.25">
      <c r="A932" s="1">
        <v>10931</v>
      </c>
      <c r="B932" s="2">
        <v>45993</v>
      </c>
      <c r="C932" s="1" t="s">
        <v>21</v>
      </c>
      <c r="D932" s="1" t="s">
        <v>33</v>
      </c>
      <c r="E932" s="1" t="s">
        <v>8</v>
      </c>
      <c r="F932" s="1" t="s">
        <v>9</v>
      </c>
      <c r="G932" s="1">
        <v>1</v>
      </c>
      <c r="H932" s="1">
        <v>62100.959999999999</v>
      </c>
      <c r="I932" s="1">
        <v>0.15</v>
      </c>
      <c r="J932" s="1">
        <v>11730.61</v>
      </c>
      <c r="K932" s="1" t="s">
        <v>8</v>
      </c>
    </row>
    <row r="933" spans="1:11" ht="15" customHeight="1" x14ac:dyDescent="0.25">
      <c r="A933" s="1">
        <v>10932</v>
      </c>
      <c r="B933" s="2">
        <v>45825</v>
      </c>
      <c r="C933" s="1" t="s">
        <v>19</v>
      </c>
      <c r="D933" s="1" t="s">
        <v>34</v>
      </c>
      <c r="E933" s="1" t="s">
        <v>10</v>
      </c>
      <c r="F933" s="1" t="s">
        <v>9</v>
      </c>
      <c r="G933" s="1">
        <v>3</v>
      </c>
      <c r="H933" s="1">
        <v>39592.81</v>
      </c>
      <c r="I933" s="1">
        <v>0.1</v>
      </c>
      <c r="J933" s="1">
        <v>10247.14</v>
      </c>
      <c r="K933" s="1" t="s">
        <v>10</v>
      </c>
    </row>
    <row r="934" spans="1:11" ht="15" customHeight="1" x14ac:dyDescent="0.25">
      <c r="A934" s="1">
        <v>10933</v>
      </c>
      <c r="B934" s="2">
        <v>45749</v>
      </c>
      <c r="C934" s="1" t="s">
        <v>18</v>
      </c>
      <c r="D934" s="1" t="s">
        <v>40</v>
      </c>
      <c r="E934" s="1" t="s">
        <v>10</v>
      </c>
      <c r="F934" s="1" t="s">
        <v>12</v>
      </c>
      <c r="G934" s="1">
        <v>1</v>
      </c>
      <c r="H934" s="1">
        <v>58255.68</v>
      </c>
      <c r="I934" s="1">
        <v>0.2</v>
      </c>
      <c r="J934" s="1">
        <v>6005.08</v>
      </c>
      <c r="K934" s="1" t="s">
        <v>10</v>
      </c>
    </row>
    <row r="935" spans="1:11" ht="15" customHeight="1" x14ac:dyDescent="0.25">
      <c r="A935" s="1">
        <v>10934</v>
      </c>
      <c r="B935" s="2">
        <v>46010</v>
      </c>
      <c r="C935" s="1" t="s">
        <v>22</v>
      </c>
      <c r="D935" s="1" t="s">
        <v>40</v>
      </c>
      <c r="E935" s="1" t="s">
        <v>10</v>
      </c>
      <c r="F935" s="1" t="s">
        <v>12</v>
      </c>
      <c r="G935" s="1">
        <v>7</v>
      </c>
      <c r="H935" s="1">
        <v>17964.71</v>
      </c>
      <c r="I935" s="1">
        <v>0.1</v>
      </c>
      <c r="J935" s="1">
        <v>7258.78</v>
      </c>
      <c r="K935" s="1" t="s">
        <v>10</v>
      </c>
    </row>
    <row r="936" spans="1:11" ht="15" customHeight="1" x14ac:dyDescent="0.25">
      <c r="A936" s="1">
        <v>10935</v>
      </c>
      <c r="B936" s="2">
        <v>45716</v>
      </c>
      <c r="C936" s="1" t="s">
        <v>20</v>
      </c>
      <c r="D936" s="1" t="s">
        <v>37</v>
      </c>
      <c r="E936" s="1" t="s">
        <v>8</v>
      </c>
      <c r="F936" s="1" t="s">
        <v>9</v>
      </c>
      <c r="G936" s="1">
        <v>1</v>
      </c>
      <c r="H936" s="1">
        <v>26208.74</v>
      </c>
      <c r="I936" s="1">
        <v>0.2</v>
      </c>
      <c r="J936" s="1">
        <v>2765.77</v>
      </c>
      <c r="K936" s="1" t="s">
        <v>8</v>
      </c>
    </row>
    <row r="937" spans="1:11" ht="15" customHeight="1" x14ac:dyDescent="0.25">
      <c r="A937" s="1">
        <v>10936</v>
      </c>
      <c r="B937" s="2">
        <v>45716</v>
      </c>
      <c r="C937" s="1" t="s">
        <v>19</v>
      </c>
      <c r="D937" s="1" t="s">
        <v>40</v>
      </c>
      <c r="E937" s="1" t="s">
        <v>10</v>
      </c>
      <c r="F937" s="1" t="s">
        <v>11</v>
      </c>
      <c r="G937" s="1">
        <v>5</v>
      </c>
      <c r="H937" s="1">
        <v>2742.74</v>
      </c>
      <c r="I937" s="1">
        <v>0.2</v>
      </c>
      <c r="J937" s="1">
        <v>6548.26</v>
      </c>
      <c r="K937" s="1" t="s">
        <v>10</v>
      </c>
    </row>
    <row r="938" spans="1:11" ht="15" customHeight="1" x14ac:dyDescent="0.25">
      <c r="A938" s="1">
        <v>10937</v>
      </c>
      <c r="B938" s="2">
        <v>45961</v>
      </c>
      <c r="C938" s="1" t="s">
        <v>20</v>
      </c>
      <c r="D938" s="1" t="s">
        <v>39</v>
      </c>
      <c r="E938" s="1" t="s">
        <v>10</v>
      </c>
      <c r="F938" s="1" t="s">
        <v>9</v>
      </c>
      <c r="G938" s="1">
        <v>6</v>
      </c>
      <c r="H938" s="1">
        <v>72131.179999999993</v>
      </c>
      <c r="I938" s="1">
        <v>0.1</v>
      </c>
      <c r="J938" s="1">
        <v>8354.89</v>
      </c>
      <c r="K938" s="1" t="s">
        <v>10</v>
      </c>
    </row>
    <row r="939" spans="1:11" ht="15" customHeight="1" x14ac:dyDescent="0.25">
      <c r="A939" s="1">
        <v>10938</v>
      </c>
      <c r="B939" s="2">
        <v>45826</v>
      </c>
      <c r="C939" s="1" t="s">
        <v>22</v>
      </c>
      <c r="D939" s="1" t="s">
        <v>35</v>
      </c>
      <c r="E939" s="1" t="s">
        <v>10</v>
      </c>
      <c r="F939" s="1" t="s">
        <v>13</v>
      </c>
      <c r="G939" s="1">
        <v>3</v>
      </c>
      <c r="H939" s="1">
        <v>50256.160000000003</v>
      </c>
      <c r="I939" s="1">
        <v>0</v>
      </c>
      <c r="J939" s="1">
        <v>6206.25</v>
      </c>
      <c r="K939" s="1" t="s">
        <v>10</v>
      </c>
    </row>
    <row r="940" spans="1:11" ht="15" customHeight="1" x14ac:dyDescent="0.25">
      <c r="A940" s="1">
        <v>10939</v>
      </c>
      <c r="B940" s="2">
        <v>45926</v>
      </c>
      <c r="C940" s="1" t="s">
        <v>18</v>
      </c>
      <c r="D940" s="1" t="s">
        <v>39</v>
      </c>
      <c r="E940" s="1" t="s">
        <v>10</v>
      </c>
      <c r="F940" s="1" t="s">
        <v>13</v>
      </c>
      <c r="G940" s="1">
        <v>4</v>
      </c>
      <c r="H940" s="1">
        <v>70023.78</v>
      </c>
      <c r="I940" s="1">
        <v>0.15</v>
      </c>
      <c r="J940" s="1">
        <v>11883.91</v>
      </c>
      <c r="K940" s="1" t="s">
        <v>10</v>
      </c>
    </row>
    <row r="941" spans="1:11" ht="15" customHeight="1" x14ac:dyDescent="0.25">
      <c r="A941" s="1">
        <v>10940</v>
      </c>
      <c r="B941" s="2">
        <v>46020</v>
      </c>
      <c r="C941" s="1" t="s">
        <v>21</v>
      </c>
      <c r="D941" s="1" t="s">
        <v>38</v>
      </c>
      <c r="E941" s="1" t="s">
        <v>10</v>
      </c>
      <c r="F941" s="1" t="s">
        <v>12</v>
      </c>
      <c r="G941" s="1">
        <v>3</v>
      </c>
      <c r="H941" s="1">
        <v>20279.48</v>
      </c>
      <c r="I941" s="1">
        <v>0.25</v>
      </c>
      <c r="J941" s="1">
        <v>7355.53</v>
      </c>
      <c r="K941" s="1" t="s">
        <v>10</v>
      </c>
    </row>
    <row r="942" spans="1:11" ht="15" customHeight="1" x14ac:dyDescent="0.25">
      <c r="A942" s="1">
        <v>10941</v>
      </c>
      <c r="B942" s="2">
        <v>45702</v>
      </c>
      <c r="C942" s="1" t="s">
        <v>18</v>
      </c>
      <c r="D942" s="1" t="s">
        <v>34</v>
      </c>
      <c r="E942" s="1" t="s">
        <v>10</v>
      </c>
      <c r="F942" s="1" t="s">
        <v>11</v>
      </c>
      <c r="G942" s="1">
        <v>5</v>
      </c>
      <c r="H942" s="1">
        <v>46054.04</v>
      </c>
      <c r="I942" s="1">
        <v>0.2</v>
      </c>
      <c r="J942" s="1">
        <v>4483.1400000000003</v>
      </c>
      <c r="K942" s="1" t="s">
        <v>10</v>
      </c>
    </row>
    <row r="943" spans="1:11" ht="15" customHeight="1" x14ac:dyDescent="0.25">
      <c r="A943" s="1">
        <v>10942</v>
      </c>
      <c r="B943" s="2">
        <v>46002</v>
      </c>
      <c r="C943" s="1" t="s">
        <v>21</v>
      </c>
      <c r="D943" s="1" t="s">
        <v>35</v>
      </c>
      <c r="E943" s="1" t="s">
        <v>10</v>
      </c>
      <c r="F943" s="1" t="s">
        <v>11</v>
      </c>
      <c r="G943" s="1">
        <v>1</v>
      </c>
      <c r="H943" s="1">
        <v>51048.25</v>
      </c>
      <c r="I943" s="1">
        <v>0.2</v>
      </c>
      <c r="J943" s="1">
        <v>9277.2199999999993</v>
      </c>
      <c r="K943" s="1" t="s">
        <v>10</v>
      </c>
    </row>
    <row r="944" spans="1:11" ht="15" customHeight="1" x14ac:dyDescent="0.25">
      <c r="A944" s="1">
        <v>10943</v>
      </c>
      <c r="B944" s="2">
        <v>45838</v>
      </c>
      <c r="C944" s="1" t="s">
        <v>22</v>
      </c>
      <c r="D944" s="1" t="s">
        <v>37</v>
      </c>
      <c r="E944" s="1" t="s">
        <v>8</v>
      </c>
      <c r="F944" s="1" t="s">
        <v>13</v>
      </c>
      <c r="G944" s="1">
        <v>5</v>
      </c>
      <c r="H944" s="1">
        <v>24157.45</v>
      </c>
      <c r="I944" s="1">
        <v>0</v>
      </c>
      <c r="J944" s="1">
        <v>2087.0300000000002</v>
      </c>
      <c r="K944" s="1" t="s">
        <v>8</v>
      </c>
    </row>
    <row r="945" spans="1:11" ht="15" customHeight="1" x14ac:dyDescent="0.25">
      <c r="A945" s="1">
        <v>10944</v>
      </c>
      <c r="B945" s="2">
        <v>45827</v>
      </c>
      <c r="C945" s="1" t="s">
        <v>18</v>
      </c>
      <c r="D945" s="1" t="s">
        <v>35</v>
      </c>
      <c r="E945" s="1" t="s">
        <v>10</v>
      </c>
      <c r="F945" s="1" t="s">
        <v>9</v>
      </c>
      <c r="G945" s="1">
        <v>2</v>
      </c>
      <c r="H945" s="1">
        <v>63684.14</v>
      </c>
      <c r="I945" s="1">
        <v>0.25</v>
      </c>
      <c r="J945" s="1">
        <v>4644.96</v>
      </c>
      <c r="K945" s="1" t="s">
        <v>10</v>
      </c>
    </row>
    <row r="946" spans="1:11" ht="15" customHeight="1" x14ac:dyDescent="0.25">
      <c r="A946" s="1">
        <v>10945</v>
      </c>
      <c r="B946" s="2">
        <v>46013</v>
      </c>
      <c r="C946" s="1" t="s">
        <v>19</v>
      </c>
      <c r="D946" s="1" t="s">
        <v>35</v>
      </c>
      <c r="E946" s="1" t="s">
        <v>10</v>
      </c>
      <c r="F946" s="1" t="s">
        <v>12</v>
      </c>
      <c r="G946" s="1">
        <v>2</v>
      </c>
      <c r="H946" s="1">
        <v>71063.53</v>
      </c>
      <c r="I946" s="1">
        <v>0.05</v>
      </c>
      <c r="J946" s="1">
        <v>4196.16</v>
      </c>
      <c r="K946" s="1" t="s">
        <v>10</v>
      </c>
    </row>
    <row r="947" spans="1:11" ht="15" customHeight="1" x14ac:dyDescent="0.25">
      <c r="A947" s="1">
        <v>10946</v>
      </c>
      <c r="B947" s="2">
        <v>45848</v>
      </c>
      <c r="C947" s="1" t="s">
        <v>25</v>
      </c>
      <c r="D947" s="1" t="s">
        <v>33</v>
      </c>
      <c r="E947" s="1" t="s">
        <v>8</v>
      </c>
      <c r="F947" s="1" t="s">
        <v>9</v>
      </c>
      <c r="G947" s="1">
        <v>4</v>
      </c>
      <c r="H947" s="1">
        <v>66421.710000000006</v>
      </c>
      <c r="I947" s="1">
        <v>0</v>
      </c>
      <c r="J947" s="1">
        <v>5210.09</v>
      </c>
      <c r="K947" s="1" t="s">
        <v>8</v>
      </c>
    </row>
    <row r="948" spans="1:11" ht="15" customHeight="1" x14ac:dyDescent="0.25">
      <c r="A948" s="1">
        <v>10947</v>
      </c>
      <c r="B948" s="2">
        <v>45812</v>
      </c>
      <c r="C948" s="1" t="s">
        <v>19</v>
      </c>
      <c r="D948" s="1" t="s">
        <v>35</v>
      </c>
      <c r="E948" s="1" t="s">
        <v>10</v>
      </c>
      <c r="F948" s="1" t="s">
        <v>9</v>
      </c>
      <c r="G948" s="1">
        <v>5</v>
      </c>
      <c r="H948" s="1">
        <v>55560.49</v>
      </c>
      <c r="I948" s="1">
        <v>0.25</v>
      </c>
      <c r="J948" s="1">
        <v>9392.27</v>
      </c>
      <c r="K948" s="1" t="s">
        <v>10</v>
      </c>
    </row>
    <row r="949" spans="1:11" ht="15" customHeight="1" x14ac:dyDescent="0.25">
      <c r="A949" s="1">
        <v>10948</v>
      </c>
      <c r="B949" s="2">
        <v>45845</v>
      </c>
      <c r="C949" s="1" t="s">
        <v>20</v>
      </c>
      <c r="D949" s="1" t="s">
        <v>37</v>
      </c>
      <c r="E949" s="1" t="s">
        <v>8</v>
      </c>
      <c r="F949" s="1" t="s">
        <v>9</v>
      </c>
      <c r="G949" s="1">
        <v>7</v>
      </c>
      <c r="H949" s="1">
        <v>21171.119999999999</v>
      </c>
      <c r="I949" s="1">
        <v>0</v>
      </c>
      <c r="J949" s="1">
        <v>5835.87</v>
      </c>
      <c r="K949" s="1" t="s">
        <v>8</v>
      </c>
    </row>
    <row r="950" spans="1:11" ht="15" customHeight="1" x14ac:dyDescent="0.25">
      <c r="A950" s="1">
        <v>10949</v>
      </c>
      <c r="B950" s="2">
        <v>45664</v>
      </c>
      <c r="C950" s="1" t="s">
        <v>19</v>
      </c>
      <c r="D950" s="1" t="s">
        <v>39</v>
      </c>
      <c r="E950" s="1" t="s">
        <v>10</v>
      </c>
      <c r="F950" s="1" t="s">
        <v>11</v>
      </c>
      <c r="G950" s="1">
        <v>4</v>
      </c>
      <c r="H950" s="1">
        <v>21480.400000000001</v>
      </c>
      <c r="I950" s="1">
        <v>0.2</v>
      </c>
      <c r="J950" s="1">
        <v>9538.4699999999993</v>
      </c>
      <c r="K950" s="1" t="s">
        <v>10</v>
      </c>
    </row>
    <row r="951" spans="1:11" ht="15" customHeight="1" x14ac:dyDescent="0.25">
      <c r="A951" s="1">
        <v>10950</v>
      </c>
      <c r="B951" s="2">
        <v>45790</v>
      </c>
      <c r="C951" s="1" t="s">
        <v>22</v>
      </c>
      <c r="D951" s="1" t="s">
        <v>35</v>
      </c>
      <c r="E951" s="1" t="s">
        <v>10</v>
      </c>
      <c r="F951" s="1" t="s">
        <v>13</v>
      </c>
      <c r="G951" s="1">
        <v>7</v>
      </c>
      <c r="H951" s="1">
        <v>72270.34</v>
      </c>
      <c r="I951" s="1">
        <v>0.15</v>
      </c>
      <c r="J951" s="1">
        <v>6939.04</v>
      </c>
      <c r="K951" s="1" t="s">
        <v>10</v>
      </c>
    </row>
    <row r="952" spans="1:11" ht="15" customHeight="1" x14ac:dyDescent="0.25">
      <c r="A952" s="1">
        <v>10951</v>
      </c>
      <c r="B952" s="2">
        <v>45892</v>
      </c>
      <c r="C952" s="1" t="s">
        <v>17</v>
      </c>
      <c r="D952" s="1" t="s">
        <v>36</v>
      </c>
      <c r="E952" s="1" t="s">
        <v>10</v>
      </c>
      <c r="F952" s="1" t="s">
        <v>11</v>
      </c>
      <c r="G952" s="1">
        <v>4</v>
      </c>
      <c r="H952" s="1">
        <v>1266.19</v>
      </c>
      <c r="I952" s="1">
        <v>0</v>
      </c>
      <c r="J952" s="1">
        <v>4137.7299999999996</v>
      </c>
      <c r="K952" s="1" t="s">
        <v>10</v>
      </c>
    </row>
    <row r="953" spans="1:11" ht="15" customHeight="1" x14ac:dyDescent="0.25">
      <c r="A953" s="1">
        <v>10952</v>
      </c>
      <c r="B953" s="2">
        <v>45702</v>
      </c>
      <c r="C953" s="1" t="s">
        <v>20</v>
      </c>
      <c r="D953" s="1" t="s">
        <v>34</v>
      </c>
      <c r="E953" s="1" t="s">
        <v>10</v>
      </c>
      <c r="F953" s="1" t="s">
        <v>13</v>
      </c>
      <c r="G953" s="1">
        <v>2</v>
      </c>
      <c r="H953" s="1">
        <v>53845.72</v>
      </c>
      <c r="I953" s="1">
        <v>0.05</v>
      </c>
      <c r="J953" s="1">
        <v>9729.25</v>
      </c>
      <c r="K953" s="1" t="s">
        <v>10</v>
      </c>
    </row>
    <row r="954" spans="1:11" ht="15" customHeight="1" x14ac:dyDescent="0.25">
      <c r="A954" s="1">
        <v>10953</v>
      </c>
      <c r="B954" s="2">
        <v>45971</v>
      </c>
      <c r="C954" s="1" t="s">
        <v>18</v>
      </c>
      <c r="D954" s="1" t="s">
        <v>35</v>
      </c>
      <c r="E954" s="1" t="s">
        <v>10</v>
      </c>
      <c r="F954" s="1" t="s">
        <v>12</v>
      </c>
      <c r="G954" s="1">
        <v>4</v>
      </c>
      <c r="H954" s="1">
        <v>53115.34</v>
      </c>
      <c r="I954" s="1">
        <v>0.1</v>
      </c>
      <c r="J954" s="1">
        <v>2897.56</v>
      </c>
      <c r="K954" s="1" t="s">
        <v>10</v>
      </c>
    </row>
    <row r="955" spans="1:11" ht="15" customHeight="1" x14ac:dyDescent="0.25">
      <c r="A955" s="1">
        <v>10954</v>
      </c>
      <c r="B955" s="2">
        <v>45906</v>
      </c>
      <c r="C955" s="1" t="s">
        <v>20</v>
      </c>
      <c r="D955" s="1" t="s">
        <v>34</v>
      </c>
      <c r="E955" s="1" t="s">
        <v>10</v>
      </c>
      <c r="F955" s="1" t="s">
        <v>12</v>
      </c>
      <c r="G955" s="1">
        <v>2</v>
      </c>
      <c r="H955" s="1">
        <v>46890.37</v>
      </c>
      <c r="I955" s="1">
        <v>0.25</v>
      </c>
      <c r="J955" s="1">
        <v>2731.38</v>
      </c>
      <c r="K955" s="1" t="s">
        <v>10</v>
      </c>
    </row>
    <row r="956" spans="1:11" ht="15" customHeight="1" x14ac:dyDescent="0.25">
      <c r="A956" s="1">
        <v>10955</v>
      </c>
      <c r="B956" s="2">
        <v>45688</v>
      </c>
      <c r="C956" s="1" t="s">
        <v>25</v>
      </c>
      <c r="D956" s="1" t="s">
        <v>36</v>
      </c>
      <c r="E956" s="1" t="s">
        <v>10</v>
      </c>
      <c r="F956" s="1" t="s">
        <v>9</v>
      </c>
      <c r="G956" s="1">
        <v>1</v>
      </c>
      <c r="H956" s="1">
        <v>74263.11</v>
      </c>
      <c r="I956" s="1">
        <v>0</v>
      </c>
      <c r="J956" s="1">
        <v>6078.81</v>
      </c>
      <c r="K956" s="1" t="s">
        <v>10</v>
      </c>
    </row>
    <row r="957" spans="1:11" ht="15" customHeight="1" x14ac:dyDescent="0.25">
      <c r="A957" s="1">
        <v>10956</v>
      </c>
      <c r="B957" s="2">
        <v>45680</v>
      </c>
      <c r="C957" s="1" t="s">
        <v>21</v>
      </c>
      <c r="D957" s="1" t="s">
        <v>36</v>
      </c>
      <c r="E957" s="1" t="s">
        <v>10</v>
      </c>
      <c r="F957" s="1" t="s">
        <v>13</v>
      </c>
      <c r="G957" s="1">
        <v>7</v>
      </c>
      <c r="H957" s="1">
        <v>23735.02</v>
      </c>
      <c r="I957" s="1">
        <v>0</v>
      </c>
      <c r="J957" s="1">
        <v>3167.15</v>
      </c>
      <c r="K957" s="1" t="s">
        <v>10</v>
      </c>
    </row>
    <row r="958" spans="1:11" ht="15" customHeight="1" x14ac:dyDescent="0.25">
      <c r="A958" s="1">
        <v>10957</v>
      </c>
      <c r="B958" s="2">
        <v>45817</v>
      </c>
      <c r="C958" s="1" t="s">
        <v>18</v>
      </c>
      <c r="D958" s="1" t="s">
        <v>34</v>
      </c>
      <c r="E958" s="1" t="s">
        <v>10</v>
      </c>
      <c r="F958" s="1" t="s">
        <v>13</v>
      </c>
      <c r="G958" s="1">
        <v>5</v>
      </c>
      <c r="H958" s="1">
        <v>25827.9</v>
      </c>
      <c r="I958" s="1">
        <v>0.05</v>
      </c>
      <c r="J958" s="1">
        <v>158.59</v>
      </c>
      <c r="K958" s="1" t="s">
        <v>10</v>
      </c>
    </row>
    <row r="959" spans="1:11" ht="15" customHeight="1" x14ac:dyDescent="0.25">
      <c r="A959" s="1">
        <v>10958</v>
      </c>
      <c r="B959" s="2">
        <v>46020</v>
      </c>
      <c r="C959" s="1" t="s">
        <v>23</v>
      </c>
      <c r="D959" s="1" t="s">
        <v>40</v>
      </c>
      <c r="E959" s="1" t="s">
        <v>10</v>
      </c>
      <c r="F959" s="1" t="s">
        <v>13</v>
      </c>
      <c r="G959" s="1">
        <v>4</v>
      </c>
      <c r="H959" s="1">
        <v>6380.99</v>
      </c>
      <c r="I959" s="1">
        <v>0.15</v>
      </c>
      <c r="J959" s="1">
        <v>7797.16</v>
      </c>
      <c r="K959" s="1" t="s">
        <v>10</v>
      </c>
    </row>
    <row r="960" spans="1:11" ht="15" customHeight="1" x14ac:dyDescent="0.25">
      <c r="A960" s="1">
        <v>10959</v>
      </c>
      <c r="B960" s="2">
        <v>45815</v>
      </c>
      <c r="C960" s="1" t="s">
        <v>20</v>
      </c>
      <c r="D960" s="1" t="s">
        <v>38</v>
      </c>
      <c r="E960" s="1" t="s">
        <v>10</v>
      </c>
      <c r="F960" s="1" t="s">
        <v>9</v>
      </c>
      <c r="G960" s="1">
        <v>2</v>
      </c>
      <c r="H960" s="1">
        <v>33488.46</v>
      </c>
      <c r="I960" s="1">
        <v>0</v>
      </c>
      <c r="J960" s="1">
        <v>6157.57</v>
      </c>
      <c r="K960" s="1" t="s">
        <v>10</v>
      </c>
    </row>
    <row r="961" spans="1:11" ht="15" customHeight="1" x14ac:dyDescent="0.25">
      <c r="A961" s="1">
        <v>10960</v>
      </c>
      <c r="B961" s="2">
        <v>45696</v>
      </c>
      <c r="C961" s="1" t="s">
        <v>18</v>
      </c>
      <c r="D961" s="1" t="s">
        <v>33</v>
      </c>
      <c r="E961" s="1" t="s">
        <v>8</v>
      </c>
      <c r="F961" s="1" t="s">
        <v>9</v>
      </c>
      <c r="G961" s="1">
        <v>3</v>
      </c>
      <c r="H961" s="1">
        <v>19948.12</v>
      </c>
      <c r="I961" s="1">
        <v>0</v>
      </c>
      <c r="J961" s="1">
        <v>5373.94</v>
      </c>
      <c r="K961" s="1" t="s">
        <v>8</v>
      </c>
    </row>
    <row r="962" spans="1:11" ht="15" customHeight="1" x14ac:dyDescent="0.25">
      <c r="A962" s="1">
        <v>10961</v>
      </c>
      <c r="B962" s="2">
        <v>45739</v>
      </c>
      <c r="C962" s="1" t="s">
        <v>18</v>
      </c>
      <c r="D962" s="1" t="s">
        <v>40</v>
      </c>
      <c r="E962" s="1" t="s">
        <v>10</v>
      </c>
      <c r="F962" s="1" t="s">
        <v>12</v>
      </c>
      <c r="G962" s="1">
        <v>7</v>
      </c>
      <c r="H962" s="1">
        <v>26082.31</v>
      </c>
      <c r="I962" s="1">
        <v>0.15</v>
      </c>
      <c r="J962" s="1">
        <v>11605.27</v>
      </c>
      <c r="K962" s="1" t="s">
        <v>10</v>
      </c>
    </row>
    <row r="963" spans="1:11" ht="15" customHeight="1" x14ac:dyDescent="0.25">
      <c r="A963" s="1">
        <v>10962</v>
      </c>
      <c r="B963" s="2">
        <v>46013</v>
      </c>
      <c r="C963" s="1" t="s">
        <v>18</v>
      </c>
      <c r="D963" s="1" t="s">
        <v>40</v>
      </c>
      <c r="E963" s="1" t="s">
        <v>10</v>
      </c>
      <c r="F963" s="1" t="s">
        <v>11</v>
      </c>
      <c r="G963" s="1">
        <v>4</v>
      </c>
      <c r="H963" s="1">
        <v>62675.6</v>
      </c>
      <c r="I963" s="1">
        <v>0.05</v>
      </c>
      <c r="J963" s="1">
        <v>6875.83</v>
      </c>
      <c r="K963" s="1" t="s">
        <v>10</v>
      </c>
    </row>
    <row r="964" spans="1:11" ht="15" customHeight="1" x14ac:dyDescent="0.25">
      <c r="A964" s="1">
        <v>10963</v>
      </c>
      <c r="B964" s="2">
        <v>45915</v>
      </c>
      <c r="C964" s="1" t="s">
        <v>21</v>
      </c>
      <c r="D964" s="1" t="s">
        <v>39</v>
      </c>
      <c r="E964" s="1" t="s">
        <v>10</v>
      </c>
      <c r="F964" s="1" t="s">
        <v>13</v>
      </c>
      <c r="G964" s="1">
        <v>6</v>
      </c>
      <c r="H964" s="1">
        <v>70193.600000000006</v>
      </c>
      <c r="I964" s="1">
        <v>0.25</v>
      </c>
      <c r="J964" s="1">
        <v>10368.01</v>
      </c>
      <c r="K964" s="1" t="s">
        <v>10</v>
      </c>
    </row>
    <row r="965" spans="1:11" ht="15" customHeight="1" x14ac:dyDescent="0.25">
      <c r="A965" s="1">
        <v>10964</v>
      </c>
      <c r="B965" s="2">
        <v>45863</v>
      </c>
      <c r="C965" s="1" t="s">
        <v>23</v>
      </c>
      <c r="D965" s="1" t="s">
        <v>33</v>
      </c>
      <c r="E965" s="1" t="s">
        <v>8</v>
      </c>
      <c r="F965" s="1" t="s">
        <v>13</v>
      </c>
      <c r="G965" s="1">
        <v>1</v>
      </c>
      <c r="H965" s="1">
        <v>14337.11</v>
      </c>
      <c r="I965" s="1">
        <v>0.25</v>
      </c>
      <c r="J965" s="1">
        <v>1716.43</v>
      </c>
      <c r="K965" s="1" t="s">
        <v>8</v>
      </c>
    </row>
    <row r="966" spans="1:11" ht="15" customHeight="1" x14ac:dyDescent="0.25">
      <c r="A966" s="1">
        <v>10965</v>
      </c>
      <c r="B966" s="2">
        <v>45734</v>
      </c>
      <c r="C966" s="1" t="s">
        <v>22</v>
      </c>
      <c r="D966" s="1" t="s">
        <v>33</v>
      </c>
      <c r="E966" s="1" t="s">
        <v>8</v>
      </c>
      <c r="F966" s="1" t="s">
        <v>11</v>
      </c>
      <c r="G966" s="1">
        <v>1</v>
      </c>
      <c r="H966" s="1">
        <v>28251.919999999998</v>
      </c>
      <c r="I966" s="1">
        <v>0</v>
      </c>
      <c r="J966" s="1">
        <v>6852.02</v>
      </c>
      <c r="K966" s="1" t="s">
        <v>8</v>
      </c>
    </row>
    <row r="967" spans="1:11" ht="15" customHeight="1" x14ac:dyDescent="0.25">
      <c r="A967" s="1">
        <v>10966</v>
      </c>
      <c r="B967" s="2">
        <v>45669</v>
      </c>
      <c r="C967" s="1" t="s">
        <v>19</v>
      </c>
      <c r="D967" s="1" t="s">
        <v>40</v>
      </c>
      <c r="E967" s="1" t="s">
        <v>10</v>
      </c>
      <c r="F967" s="1" t="s">
        <v>13</v>
      </c>
      <c r="G967" s="1">
        <v>3</v>
      </c>
      <c r="H967" s="1">
        <v>69682.98</v>
      </c>
      <c r="I967" s="1">
        <v>0.15</v>
      </c>
      <c r="J967" s="1">
        <v>10422.36</v>
      </c>
      <c r="K967" s="1" t="s">
        <v>10</v>
      </c>
    </row>
    <row r="968" spans="1:11" ht="15" customHeight="1" x14ac:dyDescent="0.25">
      <c r="A968" s="1">
        <v>10967</v>
      </c>
      <c r="B968" s="2">
        <v>45952</v>
      </c>
      <c r="C968" s="1" t="s">
        <v>18</v>
      </c>
      <c r="D968" s="1" t="s">
        <v>35</v>
      </c>
      <c r="E968" s="1" t="s">
        <v>10</v>
      </c>
      <c r="F968" s="1" t="s">
        <v>9</v>
      </c>
      <c r="G968" s="1">
        <v>2</v>
      </c>
      <c r="H968" s="1">
        <v>5104.7299999999996</v>
      </c>
      <c r="I968" s="1">
        <v>0</v>
      </c>
      <c r="J968" s="1">
        <v>7018.11</v>
      </c>
      <c r="K968" s="1" t="s">
        <v>10</v>
      </c>
    </row>
    <row r="969" spans="1:11" ht="15" customHeight="1" x14ac:dyDescent="0.25">
      <c r="A969" s="1">
        <v>10968</v>
      </c>
      <c r="B969" s="2">
        <v>45881</v>
      </c>
      <c r="C969" s="1" t="s">
        <v>17</v>
      </c>
      <c r="D969" s="1" t="s">
        <v>39</v>
      </c>
      <c r="E969" s="1" t="s">
        <v>10</v>
      </c>
      <c r="F969" s="1" t="s">
        <v>9</v>
      </c>
      <c r="G969" s="1">
        <v>4</v>
      </c>
      <c r="H969" s="1">
        <v>7380.86</v>
      </c>
      <c r="I969" s="1">
        <v>0.1</v>
      </c>
      <c r="J969" s="1">
        <v>8630.27</v>
      </c>
      <c r="K969" s="1" t="s">
        <v>10</v>
      </c>
    </row>
    <row r="970" spans="1:11" ht="15" customHeight="1" x14ac:dyDescent="0.25">
      <c r="A970" s="1">
        <v>10969</v>
      </c>
      <c r="B970" s="2">
        <v>45670</v>
      </c>
      <c r="C970" s="1" t="s">
        <v>22</v>
      </c>
      <c r="D970" s="1" t="s">
        <v>39</v>
      </c>
      <c r="E970" s="1" t="s">
        <v>10</v>
      </c>
      <c r="F970" s="1" t="s">
        <v>13</v>
      </c>
      <c r="G970" s="1">
        <v>7</v>
      </c>
      <c r="H970" s="1">
        <v>12627.93</v>
      </c>
      <c r="I970" s="1">
        <v>0.25</v>
      </c>
      <c r="J970" s="1">
        <v>4495.92</v>
      </c>
      <c r="K970" s="1" t="s">
        <v>10</v>
      </c>
    </row>
    <row r="971" spans="1:11" ht="15" customHeight="1" x14ac:dyDescent="0.25">
      <c r="A971" s="1">
        <v>10970</v>
      </c>
      <c r="B971" s="2">
        <v>45703</v>
      </c>
      <c r="C971" s="1" t="s">
        <v>25</v>
      </c>
      <c r="D971" s="1" t="s">
        <v>36</v>
      </c>
      <c r="E971" s="1" t="s">
        <v>10</v>
      </c>
      <c r="F971" s="1" t="s">
        <v>9</v>
      </c>
      <c r="G971" s="1">
        <v>2</v>
      </c>
      <c r="H971" s="1">
        <v>44843.360000000001</v>
      </c>
      <c r="I971" s="1">
        <v>0.2</v>
      </c>
      <c r="J971" s="1">
        <v>1154.77</v>
      </c>
      <c r="K971" s="1" t="s">
        <v>10</v>
      </c>
    </row>
    <row r="972" spans="1:11" ht="15" customHeight="1" x14ac:dyDescent="0.25">
      <c r="A972" s="1">
        <v>10971</v>
      </c>
      <c r="B972" s="2">
        <v>45812</v>
      </c>
      <c r="C972" s="1" t="s">
        <v>21</v>
      </c>
      <c r="D972" s="1" t="s">
        <v>37</v>
      </c>
      <c r="E972" s="1" t="s">
        <v>8</v>
      </c>
      <c r="F972" s="1" t="s">
        <v>9</v>
      </c>
      <c r="G972" s="1">
        <v>1</v>
      </c>
      <c r="H972" s="1">
        <v>11710.18</v>
      </c>
      <c r="I972" s="1">
        <v>0.1</v>
      </c>
      <c r="J972" s="1">
        <v>5521.91</v>
      </c>
      <c r="K972" s="1" t="s">
        <v>8</v>
      </c>
    </row>
    <row r="973" spans="1:11" ht="15" customHeight="1" x14ac:dyDescent="0.25">
      <c r="A973" s="1">
        <v>10972</v>
      </c>
      <c r="B973" s="2">
        <v>45770</v>
      </c>
      <c r="C973" s="1" t="s">
        <v>20</v>
      </c>
      <c r="D973" s="1" t="s">
        <v>33</v>
      </c>
      <c r="E973" s="1" t="s">
        <v>8</v>
      </c>
      <c r="F973" s="1" t="s">
        <v>13</v>
      </c>
      <c r="G973" s="1">
        <v>2</v>
      </c>
      <c r="H973" s="1">
        <v>72621.69</v>
      </c>
      <c r="I973" s="1">
        <v>0</v>
      </c>
      <c r="J973" s="1">
        <v>4764.03</v>
      </c>
      <c r="K973" s="1" t="s">
        <v>8</v>
      </c>
    </row>
    <row r="974" spans="1:11" ht="15" customHeight="1" x14ac:dyDescent="0.25">
      <c r="A974" s="1">
        <v>10973</v>
      </c>
      <c r="B974" s="2">
        <v>45890</v>
      </c>
      <c r="C974" s="1" t="s">
        <v>21</v>
      </c>
      <c r="D974" s="1" t="s">
        <v>40</v>
      </c>
      <c r="E974" s="1" t="s">
        <v>10</v>
      </c>
      <c r="F974" s="1" t="s">
        <v>12</v>
      </c>
      <c r="G974" s="1">
        <v>1</v>
      </c>
      <c r="H974" s="1">
        <v>33780.230000000003</v>
      </c>
      <c r="I974" s="1">
        <v>0.05</v>
      </c>
      <c r="J974" s="1">
        <v>10411.370000000001</v>
      </c>
      <c r="K974" s="1" t="s">
        <v>10</v>
      </c>
    </row>
    <row r="975" spans="1:11" ht="15" customHeight="1" x14ac:dyDescent="0.25">
      <c r="A975" s="1">
        <v>10974</v>
      </c>
      <c r="B975" s="2">
        <v>45674</v>
      </c>
      <c r="C975" s="1" t="s">
        <v>20</v>
      </c>
      <c r="D975" s="1" t="s">
        <v>36</v>
      </c>
      <c r="E975" s="1" t="s">
        <v>10</v>
      </c>
      <c r="F975" s="1" t="s">
        <v>11</v>
      </c>
      <c r="G975" s="1">
        <v>2</v>
      </c>
      <c r="H975" s="1">
        <v>37863.089999999997</v>
      </c>
      <c r="I975" s="1">
        <v>0.25</v>
      </c>
      <c r="J975" s="1">
        <v>2965.74</v>
      </c>
      <c r="K975" s="1" t="s">
        <v>10</v>
      </c>
    </row>
    <row r="976" spans="1:11" ht="15" customHeight="1" x14ac:dyDescent="0.25">
      <c r="A976" s="1">
        <v>10975</v>
      </c>
      <c r="B976" s="2">
        <v>46017</v>
      </c>
      <c r="C976" s="1" t="s">
        <v>21</v>
      </c>
      <c r="D976" s="1" t="s">
        <v>34</v>
      </c>
      <c r="E976" s="1" t="s">
        <v>10</v>
      </c>
      <c r="F976" s="1" t="s">
        <v>9</v>
      </c>
      <c r="G976" s="1">
        <v>3</v>
      </c>
      <c r="H976" s="1">
        <v>18876.07</v>
      </c>
      <c r="I976" s="1">
        <v>0.2</v>
      </c>
      <c r="J976" s="1">
        <v>11602.47</v>
      </c>
      <c r="K976" s="1" t="s">
        <v>10</v>
      </c>
    </row>
    <row r="977" spans="1:11" ht="15" customHeight="1" x14ac:dyDescent="0.25">
      <c r="A977" s="1">
        <v>10976</v>
      </c>
      <c r="B977" s="2">
        <v>45880</v>
      </c>
      <c r="C977" s="1" t="s">
        <v>20</v>
      </c>
      <c r="D977" s="1" t="s">
        <v>38</v>
      </c>
      <c r="E977" s="1" t="s">
        <v>10</v>
      </c>
      <c r="F977" s="1" t="s">
        <v>12</v>
      </c>
      <c r="G977" s="1">
        <v>5</v>
      </c>
      <c r="H977" s="1">
        <v>35586.54</v>
      </c>
      <c r="I977" s="1">
        <v>0.1</v>
      </c>
      <c r="J977" s="1">
        <v>11499.75</v>
      </c>
      <c r="K977" s="1" t="s">
        <v>10</v>
      </c>
    </row>
    <row r="978" spans="1:11" ht="15" customHeight="1" x14ac:dyDescent="0.25">
      <c r="A978" s="1">
        <v>10977</v>
      </c>
      <c r="B978" s="2">
        <v>46011</v>
      </c>
      <c r="C978" s="1" t="s">
        <v>18</v>
      </c>
      <c r="D978" s="1" t="s">
        <v>37</v>
      </c>
      <c r="E978" s="1" t="s">
        <v>8</v>
      </c>
      <c r="F978" s="1" t="s">
        <v>9</v>
      </c>
      <c r="G978" s="1">
        <v>3</v>
      </c>
      <c r="H978" s="1">
        <v>49812.57</v>
      </c>
      <c r="I978" s="1">
        <v>0.25</v>
      </c>
      <c r="J978" s="1">
        <v>3009.2</v>
      </c>
      <c r="K978" s="1" t="s">
        <v>8</v>
      </c>
    </row>
    <row r="979" spans="1:11" ht="15" customHeight="1" x14ac:dyDescent="0.25">
      <c r="A979" s="1">
        <v>10978</v>
      </c>
      <c r="B979" s="2">
        <v>45845</v>
      </c>
      <c r="C979" s="1" t="s">
        <v>19</v>
      </c>
      <c r="D979" s="1" t="s">
        <v>37</v>
      </c>
      <c r="E979" s="1" t="s">
        <v>8</v>
      </c>
      <c r="F979" s="1" t="s">
        <v>9</v>
      </c>
      <c r="G979" s="1">
        <v>3</v>
      </c>
      <c r="H979" s="1">
        <v>56462.7</v>
      </c>
      <c r="I979" s="1">
        <v>0.15</v>
      </c>
      <c r="J979" s="1">
        <v>4209.22</v>
      </c>
      <c r="K979" s="1" t="s">
        <v>8</v>
      </c>
    </row>
    <row r="980" spans="1:11" ht="15" customHeight="1" x14ac:dyDescent="0.25">
      <c r="A980" s="1">
        <v>10979</v>
      </c>
      <c r="B980" s="2">
        <v>46001</v>
      </c>
      <c r="C980" s="1" t="s">
        <v>20</v>
      </c>
      <c r="D980" s="1" t="s">
        <v>37</v>
      </c>
      <c r="E980" s="1" t="s">
        <v>8</v>
      </c>
      <c r="F980" s="1" t="s">
        <v>11</v>
      </c>
      <c r="G980" s="1">
        <v>5</v>
      </c>
      <c r="H980" s="1">
        <v>56663.17</v>
      </c>
      <c r="I980" s="1">
        <v>0.05</v>
      </c>
      <c r="J980" s="1">
        <v>10751.89</v>
      </c>
      <c r="K980" s="1" t="s">
        <v>8</v>
      </c>
    </row>
    <row r="981" spans="1:11" ht="15" customHeight="1" x14ac:dyDescent="0.25">
      <c r="A981" s="1">
        <v>10980</v>
      </c>
      <c r="B981" s="2">
        <v>46022</v>
      </c>
      <c r="C981" s="1" t="s">
        <v>23</v>
      </c>
      <c r="D981" s="1" t="s">
        <v>39</v>
      </c>
      <c r="E981" s="1" t="s">
        <v>10</v>
      </c>
      <c r="F981" s="1" t="s">
        <v>9</v>
      </c>
      <c r="G981" s="1">
        <v>5</v>
      </c>
      <c r="H981" s="1">
        <v>43552.89</v>
      </c>
      <c r="I981" s="1">
        <v>0.1</v>
      </c>
      <c r="J981" s="1">
        <v>11601.14</v>
      </c>
      <c r="K981" s="1" t="s">
        <v>10</v>
      </c>
    </row>
    <row r="982" spans="1:11" ht="15" customHeight="1" x14ac:dyDescent="0.25">
      <c r="A982" s="1">
        <v>10981</v>
      </c>
      <c r="B982" s="2">
        <v>45820</v>
      </c>
      <c r="C982" s="1" t="s">
        <v>20</v>
      </c>
      <c r="D982" s="1" t="s">
        <v>34</v>
      </c>
      <c r="E982" s="1" t="s">
        <v>10</v>
      </c>
      <c r="F982" s="1" t="s">
        <v>11</v>
      </c>
      <c r="G982" s="1">
        <v>4</v>
      </c>
      <c r="H982" s="1">
        <v>67874.8</v>
      </c>
      <c r="I982" s="1">
        <v>0.15</v>
      </c>
      <c r="J982" s="1">
        <v>5349.1</v>
      </c>
      <c r="K982" s="1" t="s">
        <v>10</v>
      </c>
    </row>
    <row r="983" spans="1:11" ht="15" customHeight="1" x14ac:dyDescent="0.25">
      <c r="A983" s="1">
        <v>10982</v>
      </c>
      <c r="B983" s="2">
        <v>45983</v>
      </c>
      <c r="C983" s="1" t="s">
        <v>17</v>
      </c>
      <c r="D983" s="1" t="s">
        <v>37</v>
      </c>
      <c r="E983" s="1" t="s">
        <v>8</v>
      </c>
      <c r="F983" s="1" t="s">
        <v>11</v>
      </c>
      <c r="G983" s="1">
        <v>7</v>
      </c>
      <c r="H983" s="1">
        <v>61396.88</v>
      </c>
      <c r="I983" s="1">
        <v>0</v>
      </c>
      <c r="J983" s="1">
        <v>3885.91</v>
      </c>
      <c r="K983" s="1" t="s">
        <v>8</v>
      </c>
    </row>
    <row r="984" spans="1:11" ht="15" customHeight="1" x14ac:dyDescent="0.25">
      <c r="A984" s="1">
        <v>10983</v>
      </c>
      <c r="B984" s="2">
        <v>45731</v>
      </c>
      <c r="C984" s="1" t="s">
        <v>20</v>
      </c>
      <c r="D984" s="1" t="s">
        <v>34</v>
      </c>
      <c r="E984" s="1" t="s">
        <v>10</v>
      </c>
      <c r="F984" s="1" t="s">
        <v>11</v>
      </c>
      <c r="G984" s="1">
        <v>7</v>
      </c>
      <c r="H984" s="1">
        <v>56900.08</v>
      </c>
      <c r="I984" s="1">
        <v>0.15</v>
      </c>
      <c r="J984" s="1">
        <v>6336.82</v>
      </c>
      <c r="K984" s="1" t="s">
        <v>10</v>
      </c>
    </row>
    <row r="985" spans="1:11" ht="15" customHeight="1" x14ac:dyDescent="0.25">
      <c r="A985" s="1">
        <v>10984</v>
      </c>
      <c r="B985" s="2">
        <v>45890</v>
      </c>
      <c r="C985" s="1" t="s">
        <v>17</v>
      </c>
      <c r="D985" s="1" t="s">
        <v>35</v>
      </c>
      <c r="E985" s="1" t="s">
        <v>10</v>
      </c>
      <c r="F985" s="1" t="s">
        <v>12</v>
      </c>
      <c r="G985" s="1">
        <v>4</v>
      </c>
      <c r="H985" s="1">
        <v>4642.6099999999997</v>
      </c>
      <c r="I985" s="1">
        <v>0.1</v>
      </c>
      <c r="J985" s="1">
        <v>8268.84</v>
      </c>
      <c r="K985" s="1" t="s">
        <v>10</v>
      </c>
    </row>
    <row r="986" spans="1:11" ht="15" customHeight="1" x14ac:dyDescent="0.25">
      <c r="A986" s="1">
        <v>10985</v>
      </c>
      <c r="B986" s="2">
        <v>45881</v>
      </c>
      <c r="C986" s="1" t="s">
        <v>25</v>
      </c>
      <c r="D986" s="1" t="s">
        <v>37</v>
      </c>
      <c r="E986" s="1" t="s">
        <v>8</v>
      </c>
      <c r="F986" s="1" t="s">
        <v>13</v>
      </c>
      <c r="G986" s="1">
        <v>3</v>
      </c>
      <c r="H986" s="1">
        <v>1012.41</v>
      </c>
      <c r="I986" s="1">
        <v>0.1</v>
      </c>
      <c r="J986" s="1">
        <v>3318.02</v>
      </c>
      <c r="K986" s="1" t="s">
        <v>8</v>
      </c>
    </row>
    <row r="987" spans="1:11" ht="15" customHeight="1" x14ac:dyDescent="0.25">
      <c r="A987" s="1">
        <v>10986</v>
      </c>
      <c r="B987" s="2">
        <v>45976</v>
      </c>
      <c r="C987" s="1" t="s">
        <v>18</v>
      </c>
      <c r="D987" s="1" t="s">
        <v>38</v>
      </c>
      <c r="E987" s="1" t="s">
        <v>10</v>
      </c>
      <c r="F987" s="1" t="s">
        <v>12</v>
      </c>
      <c r="G987" s="1">
        <v>3</v>
      </c>
      <c r="H987" s="1">
        <v>16327.32</v>
      </c>
      <c r="I987" s="1">
        <v>0</v>
      </c>
      <c r="J987" s="1">
        <v>8850.85</v>
      </c>
      <c r="K987" s="1" t="s">
        <v>10</v>
      </c>
    </row>
    <row r="988" spans="1:11" ht="15" customHeight="1" x14ac:dyDescent="0.25">
      <c r="A988" s="1">
        <v>10987</v>
      </c>
      <c r="B988" s="2">
        <v>45717</v>
      </c>
      <c r="C988" s="1" t="s">
        <v>17</v>
      </c>
      <c r="D988" s="1" t="s">
        <v>34</v>
      </c>
      <c r="E988" s="1" t="s">
        <v>10</v>
      </c>
      <c r="F988" s="1" t="s">
        <v>13</v>
      </c>
      <c r="G988" s="1">
        <v>1</v>
      </c>
      <c r="H988" s="1">
        <v>49932.51</v>
      </c>
      <c r="I988" s="1">
        <v>0.15</v>
      </c>
      <c r="J988" s="1">
        <v>667.31</v>
      </c>
      <c r="K988" s="1" t="s">
        <v>10</v>
      </c>
    </row>
    <row r="989" spans="1:11" ht="15" customHeight="1" x14ac:dyDescent="0.25">
      <c r="A989" s="1">
        <v>10988</v>
      </c>
      <c r="B989" s="2">
        <v>45992</v>
      </c>
      <c r="C989" s="1" t="s">
        <v>19</v>
      </c>
      <c r="D989" s="1" t="s">
        <v>34</v>
      </c>
      <c r="E989" s="1" t="s">
        <v>10</v>
      </c>
      <c r="F989" s="1" t="s">
        <v>13</v>
      </c>
      <c r="G989" s="1">
        <v>1</v>
      </c>
      <c r="H989" s="1">
        <v>31134.21</v>
      </c>
      <c r="I989" s="1">
        <v>0.15</v>
      </c>
      <c r="J989" s="1">
        <v>639.07000000000005</v>
      </c>
      <c r="K989" s="1" t="s">
        <v>10</v>
      </c>
    </row>
    <row r="990" spans="1:11" ht="15" customHeight="1" x14ac:dyDescent="0.25">
      <c r="A990" s="1">
        <v>10989</v>
      </c>
      <c r="B990" s="2">
        <v>45879</v>
      </c>
      <c r="C990" s="1" t="s">
        <v>22</v>
      </c>
      <c r="D990" s="1" t="s">
        <v>38</v>
      </c>
      <c r="E990" s="1" t="s">
        <v>10</v>
      </c>
      <c r="F990" s="1" t="s">
        <v>11</v>
      </c>
      <c r="G990" s="1">
        <v>7</v>
      </c>
      <c r="H990" s="1">
        <v>30479.27</v>
      </c>
      <c r="I990" s="1">
        <v>0</v>
      </c>
      <c r="J990" s="1">
        <v>4666.1400000000003</v>
      </c>
      <c r="K990" s="1" t="s">
        <v>10</v>
      </c>
    </row>
    <row r="991" spans="1:11" ht="15" customHeight="1" x14ac:dyDescent="0.25">
      <c r="A991" s="1">
        <v>10990</v>
      </c>
      <c r="B991" s="2">
        <v>45694</v>
      </c>
      <c r="C991" s="1" t="s">
        <v>18</v>
      </c>
      <c r="D991" s="1" t="s">
        <v>37</v>
      </c>
      <c r="E991" s="1" t="s">
        <v>8</v>
      </c>
      <c r="F991" s="1" t="s">
        <v>9</v>
      </c>
      <c r="G991" s="1">
        <v>4</v>
      </c>
      <c r="H991" s="1">
        <v>66401.72</v>
      </c>
      <c r="I991" s="1">
        <v>0.15</v>
      </c>
      <c r="J991" s="1">
        <v>4274</v>
      </c>
      <c r="K991" s="1" t="s">
        <v>8</v>
      </c>
    </row>
    <row r="992" spans="1:11" ht="15" customHeight="1" x14ac:dyDescent="0.25">
      <c r="A992" s="1">
        <v>10991</v>
      </c>
      <c r="B992" s="2">
        <v>45935</v>
      </c>
      <c r="C992" s="1" t="s">
        <v>17</v>
      </c>
      <c r="D992" s="1" t="s">
        <v>38</v>
      </c>
      <c r="E992" s="1" t="s">
        <v>10</v>
      </c>
      <c r="F992" s="1" t="s">
        <v>11</v>
      </c>
      <c r="G992" s="1">
        <v>6</v>
      </c>
      <c r="H992" s="1">
        <v>67219.429999999993</v>
      </c>
      <c r="I992" s="1">
        <v>0.25</v>
      </c>
      <c r="J992" s="1">
        <v>3821.82</v>
      </c>
      <c r="K992" s="1" t="s">
        <v>10</v>
      </c>
    </row>
    <row r="993" spans="1:11" ht="15" customHeight="1" x14ac:dyDescent="0.25">
      <c r="A993" s="1">
        <v>10992</v>
      </c>
      <c r="B993" s="2">
        <v>45853</v>
      </c>
      <c r="C993" s="1" t="s">
        <v>18</v>
      </c>
      <c r="D993" s="1" t="s">
        <v>34</v>
      </c>
      <c r="E993" s="1" t="s">
        <v>10</v>
      </c>
      <c r="F993" s="1" t="s">
        <v>9</v>
      </c>
      <c r="G993" s="1">
        <v>6</v>
      </c>
      <c r="H993" s="1">
        <v>68233.56</v>
      </c>
      <c r="I993" s="1">
        <v>0</v>
      </c>
      <c r="J993" s="1">
        <v>5917.69</v>
      </c>
      <c r="K993" s="1" t="s">
        <v>10</v>
      </c>
    </row>
    <row r="994" spans="1:11" ht="15" customHeight="1" x14ac:dyDescent="0.25">
      <c r="A994" s="1">
        <v>10993</v>
      </c>
      <c r="B994" s="2">
        <v>46009</v>
      </c>
      <c r="C994" s="1" t="s">
        <v>23</v>
      </c>
      <c r="D994" s="1" t="s">
        <v>38</v>
      </c>
      <c r="E994" s="1" t="s">
        <v>10</v>
      </c>
      <c r="F994" s="1" t="s">
        <v>13</v>
      </c>
      <c r="G994" s="1">
        <v>4</v>
      </c>
      <c r="H994" s="1">
        <v>23883.919999999998</v>
      </c>
      <c r="I994" s="1">
        <v>0.05</v>
      </c>
      <c r="J994" s="1">
        <v>3882.77</v>
      </c>
      <c r="K994" s="1" t="s">
        <v>10</v>
      </c>
    </row>
    <row r="995" spans="1:11" ht="15" customHeight="1" x14ac:dyDescent="0.25">
      <c r="A995" s="1">
        <v>10994</v>
      </c>
      <c r="B995" s="2">
        <v>45899</v>
      </c>
      <c r="C995" s="1" t="s">
        <v>18</v>
      </c>
      <c r="D995" s="1" t="s">
        <v>34</v>
      </c>
      <c r="E995" s="1" t="s">
        <v>10</v>
      </c>
      <c r="F995" s="1" t="s">
        <v>11</v>
      </c>
      <c r="G995" s="1">
        <v>1</v>
      </c>
      <c r="H995" s="1">
        <v>51983.66</v>
      </c>
      <c r="I995" s="1">
        <v>0.1</v>
      </c>
      <c r="J995" s="1">
        <v>2347.48</v>
      </c>
      <c r="K995" s="1" t="s">
        <v>10</v>
      </c>
    </row>
    <row r="996" spans="1:11" ht="15" customHeight="1" x14ac:dyDescent="0.25">
      <c r="A996" s="1">
        <v>10995</v>
      </c>
      <c r="B996" s="2">
        <v>45981</v>
      </c>
      <c r="C996" s="1" t="s">
        <v>18</v>
      </c>
      <c r="D996" s="1" t="s">
        <v>34</v>
      </c>
      <c r="E996" s="1" t="s">
        <v>10</v>
      </c>
      <c r="F996" s="1" t="s">
        <v>9</v>
      </c>
      <c r="G996" s="1">
        <v>7</v>
      </c>
      <c r="H996" s="1">
        <v>20736.669999999998</v>
      </c>
      <c r="I996" s="1">
        <v>0.05</v>
      </c>
      <c r="J996" s="1">
        <v>3748.16</v>
      </c>
      <c r="K996" s="1" t="s">
        <v>10</v>
      </c>
    </row>
    <row r="997" spans="1:11" ht="15" customHeight="1" x14ac:dyDescent="0.25">
      <c r="A997" s="1">
        <v>10996</v>
      </c>
      <c r="B997" s="2">
        <v>45876</v>
      </c>
      <c r="C997" s="1" t="s">
        <v>25</v>
      </c>
      <c r="D997" s="1" t="s">
        <v>35</v>
      </c>
      <c r="E997" s="1" t="s">
        <v>10</v>
      </c>
      <c r="F997" s="1" t="s">
        <v>12</v>
      </c>
      <c r="G997" s="1">
        <v>7</v>
      </c>
      <c r="H997" s="1">
        <v>14700.43</v>
      </c>
      <c r="I997" s="1">
        <v>0.25</v>
      </c>
      <c r="J997" s="1">
        <v>11700.11</v>
      </c>
      <c r="K997" s="1" t="s">
        <v>10</v>
      </c>
    </row>
    <row r="998" spans="1:11" ht="15" customHeight="1" x14ac:dyDescent="0.25">
      <c r="A998" s="1">
        <v>10997</v>
      </c>
      <c r="B998" s="2">
        <v>45849</v>
      </c>
      <c r="C998" s="1" t="s">
        <v>19</v>
      </c>
      <c r="D998" s="1" t="s">
        <v>40</v>
      </c>
      <c r="E998" s="1" t="s">
        <v>10</v>
      </c>
      <c r="F998" s="1" t="s">
        <v>9</v>
      </c>
      <c r="G998" s="1">
        <v>1</v>
      </c>
      <c r="H998" s="1">
        <v>14255.12</v>
      </c>
      <c r="I998" s="1">
        <v>0.25</v>
      </c>
      <c r="J998" s="1">
        <v>4962.8100000000004</v>
      </c>
      <c r="K998" s="1" t="s">
        <v>10</v>
      </c>
    </row>
    <row r="999" spans="1:11" ht="15" customHeight="1" x14ac:dyDescent="0.25">
      <c r="A999" s="1">
        <v>10998</v>
      </c>
      <c r="B999" s="2">
        <v>45674</v>
      </c>
      <c r="C999" s="1" t="s">
        <v>21</v>
      </c>
      <c r="D999" s="1" t="s">
        <v>34</v>
      </c>
      <c r="E999" s="1" t="s">
        <v>10</v>
      </c>
      <c r="F999" s="1" t="s">
        <v>11</v>
      </c>
      <c r="G999" s="1">
        <v>6</v>
      </c>
      <c r="H999" s="1">
        <v>25987.02</v>
      </c>
      <c r="I999" s="1">
        <v>0.2</v>
      </c>
      <c r="J999" s="1">
        <v>5364.32</v>
      </c>
      <c r="K999" s="1" t="s">
        <v>10</v>
      </c>
    </row>
    <row r="1000" spans="1:11" ht="15" customHeight="1" x14ac:dyDescent="0.25">
      <c r="A1000" s="1">
        <v>10999</v>
      </c>
      <c r="B1000" s="2">
        <v>45669</v>
      </c>
      <c r="C1000" s="1" t="s">
        <v>21</v>
      </c>
      <c r="D1000" s="1" t="s">
        <v>37</v>
      </c>
      <c r="E1000" s="1" t="s">
        <v>8</v>
      </c>
      <c r="F1000" s="1" t="s">
        <v>12</v>
      </c>
      <c r="G1000" s="1">
        <v>2</v>
      </c>
      <c r="H1000" s="1">
        <v>32531.84</v>
      </c>
      <c r="I1000" s="1">
        <v>0.2</v>
      </c>
      <c r="J1000" s="1">
        <v>6939.71</v>
      </c>
      <c r="K1000" s="1" t="s">
        <v>8</v>
      </c>
    </row>
    <row r="1001" spans="1:11" ht="15" customHeight="1" x14ac:dyDescent="0.25">
      <c r="A1001" s="1">
        <v>11000</v>
      </c>
      <c r="B1001" s="2">
        <v>45850</v>
      </c>
      <c r="C1001" s="1" t="s">
        <v>17</v>
      </c>
      <c r="D1001" s="1" t="s">
        <v>36</v>
      </c>
      <c r="E1001" s="1" t="s">
        <v>10</v>
      </c>
      <c r="F1001" s="1" t="s">
        <v>9</v>
      </c>
      <c r="G1001" s="1">
        <v>2</v>
      </c>
      <c r="H1001" s="1">
        <v>62405.71</v>
      </c>
      <c r="I1001" s="1">
        <v>0.2</v>
      </c>
      <c r="J1001" s="1">
        <v>11800.92</v>
      </c>
      <c r="K1001" s="1" t="s">
        <v>10</v>
      </c>
    </row>
  </sheetData>
  <pageMargins left="0.7" right="0.7" top="0.75" bottom="0.75" header="0.511811023622047" footer="0.511811023622047"/>
  <pageSetup paperSize="9" orientation="portrait" horizontalDpi="300" verticalDpi="300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46"/>
  <sheetViews>
    <sheetView zoomScale="87" zoomScaleNormal="87" workbookViewId="0">
      <selection activeCell="H30" sqref="H30"/>
    </sheetView>
  </sheetViews>
  <sheetFormatPr defaultColWidth="8.7109375" defaultRowHeight="15" customHeight="1" x14ac:dyDescent="0.25"/>
  <cols>
    <col min="1" max="1" width="17.5703125" bestFit="1" customWidth="1"/>
    <col min="2" max="2" width="13.140625" bestFit="1" customWidth="1"/>
    <col min="4" max="4" width="17.7109375" bestFit="1" customWidth="1"/>
    <col min="5" max="5" width="13" bestFit="1" customWidth="1"/>
    <col min="6" max="6" width="10" customWidth="1"/>
    <col min="7" max="7" width="15.85546875" bestFit="1" customWidth="1"/>
    <col min="8" max="8" width="13.140625" bestFit="1" customWidth="1"/>
    <col min="9" max="9" width="19.85546875" customWidth="1"/>
    <col min="10" max="28" width="10" customWidth="1"/>
    <col min="30" max="41" width="10" customWidth="1"/>
    <col min="42" max="42" width="5.85546875" customWidth="1"/>
    <col min="43" max="45" width="10" customWidth="1"/>
    <col min="48" max="55" width="10" customWidth="1"/>
    <col min="57" max="69" width="10" customWidth="1"/>
    <col min="71" max="71" width="10" customWidth="1"/>
    <col min="73" max="75" width="10" customWidth="1"/>
    <col min="76" max="90" width="11.42578125" customWidth="1"/>
    <col min="91" max="91" width="10" customWidth="1"/>
    <col min="92" max="107" width="11.42578125" customWidth="1"/>
    <col min="108" max="108" width="10" customWidth="1"/>
    <col min="109" max="116" width="11.42578125" customWidth="1"/>
    <col min="117" max="117" width="10" customWidth="1"/>
    <col min="118" max="128" width="11.42578125" customWidth="1"/>
    <col min="129" max="129" width="10" customWidth="1"/>
    <col min="130" max="137" width="11.42578125" customWidth="1"/>
    <col min="138" max="139" width="10" customWidth="1"/>
    <col min="140" max="145" width="11.42578125" customWidth="1"/>
    <col min="146" max="146" width="10" customWidth="1"/>
    <col min="147" max="147" width="11.42578125" customWidth="1"/>
    <col min="148" max="148" width="10" customWidth="1"/>
    <col min="149" max="168" width="11.42578125" customWidth="1"/>
    <col min="169" max="169" width="10" customWidth="1"/>
    <col min="170" max="175" width="11.42578125" customWidth="1"/>
    <col min="176" max="176" width="10" customWidth="1"/>
    <col min="177" max="194" width="11.42578125" customWidth="1"/>
    <col min="195" max="195" width="10" customWidth="1"/>
    <col min="196" max="208" width="11.42578125" customWidth="1"/>
    <col min="209" max="209" width="10" customWidth="1"/>
    <col min="210" max="225" width="11.42578125" customWidth="1"/>
    <col min="226" max="226" width="10" customWidth="1"/>
    <col min="227" max="240" width="11.42578125" customWidth="1"/>
    <col min="241" max="241" width="10" customWidth="1"/>
    <col min="242" max="250" width="11.42578125" customWidth="1"/>
    <col min="251" max="252" width="10" customWidth="1"/>
    <col min="253" max="265" width="11.42578125" customWidth="1"/>
    <col min="266" max="266" width="10" customWidth="1"/>
    <col min="267" max="273" width="11.42578125" customWidth="1"/>
    <col min="274" max="274" width="7.28515625" customWidth="1"/>
    <col min="275" max="313" width="11.42578125" customWidth="1"/>
    <col min="314" max="314" width="10" customWidth="1"/>
    <col min="315" max="327" width="11.42578125" customWidth="1"/>
    <col min="328" max="328" width="10" customWidth="1"/>
    <col min="329" max="329" width="11.42578125" customWidth="1"/>
    <col min="330" max="330" width="10" customWidth="1"/>
    <col min="331" max="332" width="11.42578125" customWidth="1"/>
    <col min="333" max="333" width="10" customWidth="1"/>
    <col min="334" max="335" width="11.42578125" customWidth="1"/>
    <col min="336" max="336" width="10" customWidth="1"/>
    <col min="337" max="341" width="11.42578125" customWidth="1"/>
    <col min="342" max="342" width="10" customWidth="1"/>
    <col min="343" max="358" width="11.42578125" customWidth="1"/>
    <col min="359" max="359" width="7.28515625" customWidth="1"/>
    <col min="360" max="361" width="11.42578125" customWidth="1"/>
    <col min="362" max="363" width="10" customWidth="1"/>
    <col min="364" max="366" width="11.42578125" customWidth="1"/>
    <col min="367" max="367" width="10" customWidth="1"/>
    <col min="368" max="368" width="11.42578125" customWidth="1"/>
    <col min="369" max="369" width="10" customWidth="1"/>
    <col min="370" max="387" width="11.42578125" customWidth="1"/>
    <col min="388" max="388" width="10" customWidth="1"/>
    <col min="389" max="396" width="11.42578125" customWidth="1"/>
    <col min="397" max="397" width="7.28515625" customWidth="1"/>
    <col min="398" max="406" width="11.42578125" customWidth="1"/>
    <col min="407" max="407" width="10" customWidth="1"/>
    <col min="408" max="410" width="11.42578125" customWidth="1"/>
    <col min="411" max="411" width="10" customWidth="1"/>
    <col min="412" max="432" width="11.42578125" customWidth="1"/>
    <col min="433" max="433" width="10" customWidth="1"/>
    <col min="434" max="434" width="11.42578125" customWidth="1"/>
    <col min="435" max="435" width="10" customWidth="1"/>
    <col min="436" max="440" width="11.42578125" customWidth="1"/>
    <col min="441" max="441" width="10" customWidth="1"/>
    <col min="442" max="442" width="11.42578125" customWidth="1"/>
    <col min="443" max="443" width="10" customWidth="1"/>
    <col min="444" max="444" width="11.42578125" customWidth="1"/>
    <col min="445" max="445" width="10" customWidth="1"/>
    <col min="446" max="453" width="11.42578125" customWidth="1"/>
    <col min="454" max="454" width="10" customWidth="1"/>
    <col min="455" max="456" width="11.42578125" customWidth="1"/>
    <col min="457" max="457" width="10" customWidth="1"/>
    <col min="458" max="472" width="11.42578125" customWidth="1"/>
    <col min="473" max="473" width="10" customWidth="1"/>
    <col min="474" max="497" width="11.42578125" customWidth="1"/>
    <col min="498" max="498" width="10" customWidth="1"/>
    <col min="499" max="502" width="11.42578125" customWidth="1"/>
    <col min="503" max="503" width="10" customWidth="1"/>
    <col min="504" max="512" width="11.42578125" customWidth="1"/>
    <col min="513" max="513" width="10" customWidth="1"/>
    <col min="514" max="524" width="11.42578125" customWidth="1"/>
    <col min="525" max="525" width="7.28515625" customWidth="1"/>
    <col min="526" max="539" width="11.42578125" customWidth="1"/>
    <col min="540" max="540" width="10" customWidth="1"/>
    <col min="541" max="550" width="11.42578125" customWidth="1"/>
    <col min="551" max="551" width="10" customWidth="1"/>
    <col min="552" max="561" width="11.42578125" customWidth="1"/>
    <col min="562" max="562" width="10" customWidth="1"/>
    <col min="563" max="585" width="11.42578125" customWidth="1"/>
    <col min="586" max="586" width="10" customWidth="1"/>
    <col min="587" max="592" width="11.42578125" customWidth="1"/>
    <col min="593" max="593" width="10" customWidth="1"/>
    <col min="594" max="598" width="11.42578125" customWidth="1"/>
    <col min="599" max="599" width="10" customWidth="1"/>
    <col min="600" max="606" width="11.42578125" customWidth="1"/>
    <col min="607" max="607" width="10" customWidth="1"/>
    <col min="608" max="610" width="11.42578125" customWidth="1"/>
    <col min="611" max="611" width="10" customWidth="1"/>
    <col min="612" max="612" width="11.42578125" customWidth="1"/>
    <col min="613" max="613" width="10" customWidth="1"/>
    <col min="614" max="617" width="11.42578125" customWidth="1"/>
    <col min="618" max="618" width="7.28515625" customWidth="1"/>
    <col min="619" max="620" width="11.42578125" customWidth="1"/>
    <col min="621" max="621" width="10" customWidth="1"/>
    <col min="622" max="622" width="11.42578125" customWidth="1"/>
    <col min="623" max="623" width="10" customWidth="1"/>
    <col min="624" max="636" width="11.42578125" customWidth="1"/>
    <col min="637" max="637" width="10" customWidth="1"/>
    <col min="638" max="641" width="11.42578125" customWidth="1"/>
    <col min="642" max="642" width="10" customWidth="1"/>
    <col min="643" max="650" width="11.42578125" customWidth="1"/>
    <col min="651" max="651" width="10" customWidth="1"/>
    <col min="652" max="664" width="11.42578125" customWidth="1"/>
    <col min="665" max="665" width="10" customWidth="1"/>
    <col min="666" max="675" width="11.42578125" customWidth="1"/>
    <col min="676" max="676" width="10" customWidth="1"/>
    <col min="677" max="689" width="11.42578125" customWidth="1"/>
    <col min="690" max="690" width="10" customWidth="1"/>
    <col min="691" max="692" width="11.42578125" customWidth="1"/>
    <col min="693" max="693" width="7.28515625" customWidth="1"/>
    <col min="694" max="706" width="11.42578125" customWidth="1"/>
    <col min="707" max="707" width="10" customWidth="1"/>
    <col min="708" max="724" width="11.42578125" customWidth="1"/>
    <col min="725" max="725" width="10" customWidth="1"/>
    <col min="726" max="750" width="11.42578125" customWidth="1"/>
    <col min="751" max="752" width="10" customWidth="1"/>
    <col min="753" max="772" width="11.42578125" customWidth="1"/>
    <col min="773" max="773" width="10" customWidth="1"/>
    <col min="774" max="780" width="11.42578125" customWidth="1"/>
    <col min="781" max="781" width="10" customWidth="1"/>
    <col min="782" max="798" width="11.42578125" customWidth="1"/>
    <col min="799" max="799" width="10" customWidth="1"/>
    <col min="800" max="808" width="11.42578125" customWidth="1"/>
    <col min="809" max="809" width="10" customWidth="1"/>
    <col min="810" max="825" width="11.42578125" customWidth="1"/>
    <col min="826" max="827" width="12.85546875" customWidth="1"/>
    <col min="828" max="829" width="11.42578125" customWidth="1"/>
    <col min="830" max="843" width="12.85546875" customWidth="1"/>
    <col min="844" max="844" width="11.42578125" customWidth="1"/>
    <col min="845" max="851" width="12.85546875" customWidth="1"/>
    <col min="852" max="852" width="11.42578125" customWidth="1"/>
    <col min="853" max="855" width="12.85546875" customWidth="1"/>
    <col min="856" max="856" width="11.42578125" customWidth="1"/>
    <col min="857" max="872" width="12.85546875" customWidth="1"/>
    <col min="873" max="873" width="11.42578125" customWidth="1"/>
    <col min="874" max="874" width="12.85546875" customWidth="1"/>
    <col min="875" max="875" width="11.42578125" customWidth="1"/>
    <col min="876" max="876" width="12.85546875" customWidth="1"/>
    <col min="877" max="877" width="11.42578125" customWidth="1"/>
    <col min="878" max="890" width="12.85546875" customWidth="1"/>
    <col min="891" max="891" width="11.42578125" customWidth="1"/>
    <col min="892" max="899" width="12.85546875" customWidth="1"/>
    <col min="900" max="900" width="11.42578125" customWidth="1"/>
    <col min="901" max="910" width="12.85546875" customWidth="1"/>
    <col min="911" max="911" width="11.42578125" customWidth="1"/>
    <col min="912" max="921" width="12.85546875" customWidth="1"/>
    <col min="922" max="922" width="11.42578125" customWidth="1"/>
    <col min="923" max="923" width="12.85546875" customWidth="1"/>
    <col min="924" max="924" width="11.42578125" customWidth="1"/>
    <col min="925" max="925" width="12.85546875" customWidth="1"/>
    <col min="926" max="926" width="11.42578125" customWidth="1"/>
    <col min="927" max="930" width="12.85546875" customWidth="1"/>
    <col min="931" max="931" width="11.42578125" customWidth="1"/>
    <col min="932" max="934" width="12.85546875" customWidth="1"/>
    <col min="935" max="935" width="11.42578125" customWidth="1"/>
    <col min="936" max="956" width="12.85546875" customWidth="1"/>
    <col min="957" max="957" width="11.42578125" customWidth="1"/>
    <col min="958" max="959" width="12.85546875" customWidth="1"/>
    <col min="960" max="960" width="11.42578125" customWidth="1"/>
    <col min="961" max="974" width="12.85546875" customWidth="1"/>
    <col min="975" max="975" width="11.42578125" customWidth="1"/>
    <col min="976" max="998" width="12.85546875" customWidth="1"/>
    <col min="999" max="999" width="10.42578125" customWidth="1"/>
    <col min="1000" max="1000" width="16.42578125" customWidth="1"/>
  </cols>
  <sheetData>
    <row r="1" spans="1:9" ht="18.75" customHeight="1" x14ac:dyDescent="0.3">
      <c r="A1" s="4" t="s">
        <v>0</v>
      </c>
    </row>
    <row r="2" spans="1:9" ht="15" customHeight="1" x14ac:dyDescent="0.25">
      <c r="D2" t="s">
        <v>1</v>
      </c>
      <c r="G2" t="s">
        <v>2</v>
      </c>
      <c r="I2" t="s">
        <v>3</v>
      </c>
    </row>
    <row r="3" spans="1:9" ht="15" customHeight="1" x14ac:dyDescent="0.25">
      <c r="A3" t="s">
        <v>4</v>
      </c>
      <c r="D3" s="26">
        <v>1000</v>
      </c>
      <c r="G3" s="26">
        <v>3979</v>
      </c>
      <c r="I3" s="7">
        <f>A4/D3</f>
        <v>37613.93282000006</v>
      </c>
    </row>
    <row r="4" spans="1:9" ht="15" customHeight="1" x14ac:dyDescent="0.25">
      <c r="A4" s="7">
        <v>37613932.82000006</v>
      </c>
    </row>
    <row r="8" spans="1:9" ht="15" customHeight="1" x14ac:dyDescent="0.25">
      <c r="A8" s="24" t="s">
        <v>65</v>
      </c>
      <c r="B8" s="7" t="s">
        <v>4</v>
      </c>
      <c r="D8" s="24" t="s">
        <v>65</v>
      </c>
      <c r="E8" s="7" t="s">
        <v>4</v>
      </c>
      <c r="G8" s="24" t="s">
        <v>65</v>
      </c>
      <c r="H8" s="7" t="s">
        <v>4</v>
      </c>
    </row>
    <row r="9" spans="1:9" ht="15" customHeight="1" x14ac:dyDescent="0.25">
      <c r="A9" s="25" t="s">
        <v>8</v>
      </c>
      <c r="B9" s="7">
        <v>9579344.5700000022</v>
      </c>
      <c r="D9" s="25" t="s">
        <v>9</v>
      </c>
      <c r="E9" s="7">
        <v>8744277.3400000017</v>
      </c>
      <c r="G9" s="25" t="s">
        <v>52</v>
      </c>
      <c r="H9" s="7">
        <v>3511075.3000000007</v>
      </c>
    </row>
    <row r="10" spans="1:9" ht="15" customHeight="1" x14ac:dyDescent="0.25">
      <c r="A10" s="25" t="s">
        <v>10</v>
      </c>
      <c r="B10" s="7">
        <v>28034588.250000007</v>
      </c>
      <c r="D10" s="25" t="s">
        <v>11</v>
      </c>
      <c r="E10" s="7">
        <v>9169887.7899999954</v>
      </c>
      <c r="G10" s="25" t="s">
        <v>53</v>
      </c>
      <c r="H10" s="7">
        <v>2986620.15</v>
      </c>
    </row>
    <row r="11" spans="1:9" ht="15" customHeight="1" x14ac:dyDescent="0.25">
      <c r="A11" s="25" t="s">
        <v>66</v>
      </c>
      <c r="B11" s="7">
        <v>37613932.820000008</v>
      </c>
      <c r="D11" s="25" t="s">
        <v>12</v>
      </c>
      <c r="E11" s="7">
        <v>9321539.8299999926</v>
      </c>
      <c r="G11" s="25" t="s">
        <v>54</v>
      </c>
      <c r="H11" s="7">
        <v>3321371.3400000008</v>
      </c>
    </row>
    <row r="12" spans="1:9" ht="15" customHeight="1" x14ac:dyDescent="0.25">
      <c r="B12" s="7"/>
      <c r="D12" s="25" t="s">
        <v>13</v>
      </c>
      <c r="E12" s="7">
        <v>10378227.860000007</v>
      </c>
      <c r="G12" s="25" t="s">
        <v>55</v>
      </c>
      <c r="H12" s="7">
        <v>3311249.3699999992</v>
      </c>
    </row>
    <row r="13" spans="1:9" ht="15" customHeight="1" x14ac:dyDescent="0.25">
      <c r="B13" s="7"/>
      <c r="D13" s="25" t="s">
        <v>66</v>
      </c>
      <c r="E13" s="7">
        <v>37613932.819999993</v>
      </c>
      <c r="G13" s="25" t="s">
        <v>56</v>
      </c>
      <c r="H13" s="7">
        <v>3168773.9300000006</v>
      </c>
    </row>
    <row r="14" spans="1:9" ht="15" customHeight="1" x14ac:dyDescent="0.25">
      <c r="B14" s="7"/>
      <c r="G14" s="25" t="s">
        <v>57</v>
      </c>
      <c r="H14" s="7">
        <v>2952237.0200000005</v>
      </c>
    </row>
    <row r="15" spans="1:9" ht="15" customHeight="1" x14ac:dyDescent="0.25">
      <c r="G15" s="25" t="s">
        <v>58</v>
      </c>
      <c r="H15" s="7">
        <v>2548735.34</v>
      </c>
    </row>
    <row r="16" spans="1:9" ht="15" customHeight="1" x14ac:dyDescent="0.25">
      <c r="G16" s="25" t="s">
        <v>59</v>
      </c>
      <c r="H16" s="7">
        <v>3665492.13</v>
      </c>
    </row>
    <row r="17" spans="1:8" ht="15" customHeight="1" x14ac:dyDescent="0.25">
      <c r="G17" s="25" t="s">
        <v>60</v>
      </c>
      <c r="H17" s="7">
        <v>2742406.05</v>
      </c>
    </row>
    <row r="18" spans="1:8" ht="15" customHeight="1" x14ac:dyDescent="0.25">
      <c r="G18" s="25" t="s">
        <v>61</v>
      </c>
      <c r="H18" s="7">
        <v>3161107.77</v>
      </c>
    </row>
    <row r="19" spans="1:8" ht="15" customHeight="1" x14ac:dyDescent="0.25">
      <c r="G19" s="25" t="s">
        <v>62</v>
      </c>
      <c r="H19" s="7">
        <v>3077908.82</v>
      </c>
    </row>
    <row r="20" spans="1:8" ht="15" customHeight="1" x14ac:dyDescent="0.25">
      <c r="G20" s="25" t="s">
        <v>63</v>
      </c>
      <c r="H20" s="7">
        <v>3166955.5999999996</v>
      </c>
    </row>
    <row r="21" spans="1:8" ht="15" customHeight="1" x14ac:dyDescent="0.25">
      <c r="G21" s="25" t="s">
        <v>66</v>
      </c>
      <c r="H21" s="7">
        <v>37613932.82</v>
      </c>
    </row>
    <row r="23" spans="1:8" ht="18.75" customHeight="1" x14ac:dyDescent="0.3">
      <c r="A23" s="4" t="s">
        <v>14</v>
      </c>
    </row>
    <row r="25" spans="1:8" ht="15" customHeight="1" x14ac:dyDescent="0.25">
      <c r="A25" s="24" t="s">
        <v>65</v>
      </c>
      <c r="B25" s="7" t="s">
        <v>4</v>
      </c>
      <c r="D25" s="24" t="s">
        <v>65</v>
      </c>
      <c r="E25" s="7" t="s">
        <v>16</v>
      </c>
    </row>
    <row r="26" spans="1:8" ht="15" customHeight="1" x14ac:dyDescent="0.25">
      <c r="A26" s="25" t="s">
        <v>17</v>
      </c>
      <c r="B26" s="7">
        <v>4288975.6599999974</v>
      </c>
      <c r="D26" s="25" t="s">
        <v>8</v>
      </c>
      <c r="E26" s="7">
        <v>1457772.05</v>
      </c>
    </row>
    <row r="27" spans="1:8" ht="15" customHeight="1" x14ac:dyDescent="0.25">
      <c r="A27" s="25" t="s">
        <v>18</v>
      </c>
      <c r="B27" s="7">
        <v>5489480.799999998</v>
      </c>
      <c r="D27" s="25" t="s">
        <v>10</v>
      </c>
      <c r="E27" s="7">
        <v>4556311.3799999962</v>
      </c>
    </row>
    <row r="28" spans="1:8" ht="15" customHeight="1" x14ac:dyDescent="0.25">
      <c r="A28" s="25" t="s">
        <v>19</v>
      </c>
      <c r="B28" s="7">
        <v>5386624.1800000034</v>
      </c>
      <c r="D28" s="25" t="s">
        <v>66</v>
      </c>
      <c r="E28" s="7">
        <v>6014083.429999996</v>
      </c>
    </row>
    <row r="29" spans="1:8" ht="15" customHeight="1" x14ac:dyDescent="0.25">
      <c r="A29" s="25" t="s">
        <v>20</v>
      </c>
      <c r="B29" s="7">
        <v>5382946.6099999994</v>
      </c>
    </row>
    <row r="30" spans="1:8" ht="15" customHeight="1" x14ac:dyDescent="0.25">
      <c r="A30" s="25" t="s">
        <v>21</v>
      </c>
      <c r="B30" s="7">
        <v>3886212.0000000009</v>
      </c>
    </row>
    <row r="31" spans="1:8" ht="15" customHeight="1" x14ac:dyDescent="0.25">
      <c r="A31" s="25" t="s">
        <v>22</v>
      </c>
      <c r="B31" s="7">
        <v>4478718.5999999996</v>
      </c>
    </row>
    <row r="32" spans="1:8" ht="15" customHeight="1" x14ac:dyDescent="0.25">
      <c r="A32" s="25" t="s">
        <v>23</v>
      </c>
      <c r="B32" s="7">
        <v>4179045.839999998</v>
      </c>
    </row>
    <row r="33" spans="1:2" ht="15" customHeight="1" x14ac:dyDescent="0.25">
      <c r="A33" s="25" t="s">
        <v>24</v>
      </c>
      <c r="B33" s="7">
        <v>100500.7</v>
      </c>
    </row>
    <row r="34" spans="1:2" ht="15" customHeight="1" x14ac:dyDescent="0.25">
      <c r="A34" s="25" t="s">
        <v>25</v>
      </c>
      <c r="B34" s="7">
        <v>4421428.4300000016</v>
      </c>
    </row>
    <row r="35" spans="1:2" ht="15" customHeight="1" x14ac:dyDescent="0.25">
      <c r="A35" s="25" t="s">
        <v>66</v>
      </c>
      <c r="B35" s="7">
        <v>37613932.82</v>
      </c>
    </row>
    <row r="36" spans="1:2" ht="15" customHeight="1" x14ac:dyDescent="0.25">
      <c r="B36" s="7"/>
    </row>
    <row r="45" spans="1:2" ht="15" customHeight="1" x14ac:dyDescent="0.25">
      <c r="A45" s="5" t="s">
        <v>16</v>
      </c>
    </row>
    <row r="46" spans="1:2" ht="15" customHeight="1" x14ac:dyDescent="0.25">
      <c r="A46" s="6">
        <v>6002282.5099999998</v>
      </c>
    </row>
  </sheetData>
  <pageMargins left="0.7" right="0.7" top="0.75" bottom="0.75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P40"/>
  <sheetViews>
    <sheetView showGridLines="0" tabSelected="1" zoomScale="46" zoomScaleNormal="100" workbookViewId="0">
      <pane ySplit="4" topLeftCell="A5" activePane="bottomLeft" state="frozen"/>
      <selection pane="bottomLeft" activeCell="Z12" sqref="Z12"/>
    </sheetView>
  </sheetViews>
  <sheetFormatPr defaultColWidth="8.7109375" defaultRowHeight="15" customHeight="1" x14ac:dyDescent="0.25"/>
  <cols>
    <col min="1" max="16" width="11.42578125" customWidth="1"/>
  </cols>
  <sheetData>
    <row r="1" spans="1:16" ht="15" customHeight="1" x14ac:dyDescent="0.25">
      <c r="A1" s="23" t="s">
        <v>64</v>
      </c>
      <c r="B1" s="15"/>
      <c r="C1" s="15"/>
      <c r="D1" s="15"/>
      <c r="E1" s="15"/>
      <c r="F1" s="15"/>
      <c r="G1" s="15"/>
      <c r="H1" s="15"/>
      <c r="I1" s="15"/>
      <c r="J1" s="15"/>
      <c r="K1" s="15"/>
      <c r="L1" s="15"/>
      <c r="M1" s="15"/>
      <c r="N1" s="15"/>
      <c r="O1" s="15"/>
      <c r="P1" s="15"/>
    </row>
    <row r="2" spans="1:16" ht="15" customHeight="1" x14ac:dyDescent="0.25">
      <c r="A2" s="15"/>
      <c r="B2" s="15"/>
      <c r="C2" s="15"/>
      <c r="D2" s="15"/>
      <c r="E2" s="15"/>
      <c r="F2" s="15"/>
      <c r="G2" s="15"/>
      <c r="H2" s="15"/>
      <c r="I2" s="15"/>
      <c r="J2" s="15"/>
      <c r="K2" s="15"/>
      <c r="L2" s="15"/>
      <c r="M2" s="15"/>
      <c r="N2" s="15"/>
      <c r="O2" s="15"/>
      <c r="P2" s="15"/>
    </row>
    <row r="3" spans="1:16" ht="24.4" customHeight="1" x14ac:dyDescent="0.25">
      <c r="A3" s="8"/>
      <c r="B3" s="8"/>
      <c r="C3" s="8"/>
      <c r="D3" s="8"/>
      <c r="E3" s="8"/>
      <c r="F3" s="8"/>
      <c r="G3" s="8"/>
      <c r="H3" s="8"/>
      <c r="I3" s="8"/>
      <c r="J3" s="8"/>
      <c r="K3" s="8"/>
      <c r="L3" s="8"/>
      <c r="M3" s="8"/>
      <c r="N3" s="8"/>
      <c r="O3" s="8"/>
      <c r="P3" s="8"/>
    </row>
    <row r="4" spans="1:16" ht="21.75" customHeight="1" x14ac:dyDescent="0.25">
      <c r="A4" s="9" t="s">
        <v>41</v>
      </c>
      <c r="B4" s="10"/>
      <c r="C4" s="11" t="s">
        <v>43</v>
      </c>
      <c r="D4" s="12"/>
      <c r="E4" s="12"/>
      <c r="F4" s="9" t="s">
        <v>42</v>
      </c>
      <c r="G4" s="10"/>
      <c r="H4" s="11" t="s">
        <v>43</v>
      </c>
      <c r="I4" s="12"/>
      <c r="J4" s="12"/>
      <c r="K4" s="9" t="s">
        <v>44</v>
      </c>
      <c r="L4" s="10"/>
      <c r="M4" s="11" t="s">
        <v>43</v>
      </c>
      <c r="N4" s="12"/>
      <c r="O4" s="12"/>
      <c r="P4" s="12"/>
    </row>
    <row r="5" spans="1:16" ht="24.4" customHeight="1" x14ac:dyDescent="0.25">
      <c r="A5" s="8"/>
      <c r="B5" s="8"/>
      <c r="C5" s="8"/>
      <c r="D5" s="8"/>
      <c r="E5" s="8"/>
      <c r="F5" s="8"/>
      <c r="G5" s="8"/>
      <c r="H5" s="8"/>
      <c r="I5" s="8"/>
      <c r="J5" s="8"/>
      <c r="K5" s="8"/>
      <c r="L5" s="8"/>
      <c r="M5" s="8"/>
      <c r="N5" s="8"/>
      <c r="O5" s="8"/>
      <c r="P5" s="8"/>
    </row>
    <row r="6" spans="1:16" ht="15" customHeight="1" x14ac:dyDescent="0.25">
      <c r="A6" s="13" t="s">
        <v>45</v>
      </c>
      <c r="B6" s="12"/>
      <c r="C6" s="12"/>
      <c r="D6" s="10"/>
      <c r="E6" s="13" t="s">
        <v>46</v>
      </c>
      <c r="F6" s="12"/>
      <c r="G6" s="12"/>
      <c r="H6" s="10"/>
      <c r="I6" s="13" t="s">
        <v>47</v>
      </c>
      <c r="J6" s="12"/>
      <c r="K6" s="12"/>
      <c r="L6" s="10"/>
      <c r="M6" s="13" t="s">
        <v>48</v>
      </c>
      <c r="N6" s="12"/>
      <c r="O6" s="12"/>
      <c r="P6" s="10"/>
    </row>
    <row r="7" spans="1:16" ht="15" customHeight="1" x14ac:dyDescent="0.25">
      <c r="A7" s="16">
        <f>SUMIFS(' Sales analysis'!$H$2:$H$1001,' Sales analysis'!$E$2:$E$1001,IF($C$4="All","&lt;&gt;",$C$4),' Sales analysis'!$F$2:$F$1001,IF($H$4="All","&lt;&gt;",$H$4),' Sales analysis'!$C$2:$C$1001,IF($M$4="All","&lt;&gt;",$M$4))</f>
        <v>37613932.82000006</v>
      </c>
      <c r="B7" s="17"/>
      <c r="C7" s="17"/>
      <c r="D7" s="18"/>
      <c r="E7" s="22">
        <f>COUNTIFS(' Sales analysis'!$E$2:$E$1001,IF($C$4="All","&lt;&gt;",$C$4),' Sales analysis'!$F$2:$F$1001,IF($H$4="All","&lt;&gt;",$H$4),' Sales analysis'!$C$2:$C$1001,IF($M$4="All","&lt;&gt;",$M$4))</f>
        <v>1000</v>
      </c>
      <c r="F7" s="17"/>
      <c r="G7" s="17"/>
      <c r="H7" s="18"/>
      <c r="I7" s="22">
        <f>SUMIFS(' Sales analysis'!$G$2:$G$1001,' Sales analysis'!$E$2:$E$1001,IF($C$4="All","&lt;&gt;",$C$4),' Sales analysis'!$F$2:$F$1001,IF($H$4="All","&lt;&gt;",$H$4),' Sales analysis'!$C$2:$C$1001,IF($M$4="All","&lt;&gt;",$M$4))</f>
        <v>3979</v>
      </c>
      <c r="J7" s="17"/>
      <c r="K7" s="17"/>
      <c r="L7" s="18"/>
      <c r="M7" s="16">
        <f>IFERROR(A7/E7,0)</f>
        <v>37613.93282000006</v>
      </c>
      <c r="N7" s="17"/>
      <c r="O7" s="17"/>
      <c r="P7" s="18"/>
    </row>
    <row r="8" spans="1:16" ht="15" customHeight="1" x14ac:dyDescent="0.25">
      <c r="A8" s="19"/>
      <c r="B8" s="20"/>
      <c r="C8" s="20"/>
      <c r="D8" s="21"/>
      <c r="E8" s="19"/>
      <c r="F8" s="20"/>
      <c r="G8" s="20"/>
      <c r="H8" s="21"/>
      <c r="I8" s="19"/>
      <c r="J8" s="20"/>
      <c r="K8" s="20"/>
      <c r="L8" s="21"/>
      <c r="M8" s="19"/>
      <c r="N8" s="20"/>
      <c r="O8" s="20"/>
      <c r="P8" s="21"/>
    </row>
    <row r="9" spans="1:16" ht="24.4" customHeight="1" x14ac:dyDescent="0.25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  <c r="P9" s="8"/>
    </row>
    <row r="10" spans="1:16" ht="24.4" customHeight="1" x14ac:dyDescent="0.25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</row>
    <row r="11" spans="1:16" ht="24.4" customHeight="1" x14ac:dyDescent="0.25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  <c r="P11" s="8"/>
    </row>
    <row r="12" spans="1:16" ht="24.4" customHeight="1" x14ac:dyDescent="0.25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  <c r="P12" s="8"/>
    </row>
    <row r="13" spans="1:16" ht="24.4" customHeight="1" x14ac:dyDescent="0.25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  <c r="P13" s="8"/>
    </row>
    <row r="14" spans="1:16" ht="24.4" customHeight="1" x14ac:dyDescent="0.25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  <c r="P14" s="8"/>
    </row>
    <row r="15" spans="1:16" ht="24.4" customHeight="1" x14ac:dyDescent="0.25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  <c r="P15" s="8"/>
    </row>
    <row r="16" spans="1:16" ht="24.4" customHeight="1" x14ac:dyDescent="0.25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  <c r="P16" s="8"/>
    </row>
    <row r="17" spans="1:16" ht="24.4" customHeight="1" x14ac:dyDescent="0.25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  <c r="P17" s="8"/>
    </row>
    <row r="18" spans="1:16" ht="24.4" customHeight="1" x14ac:dyDescent="0.25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  <c r="P18" s="8"/>
    </row>
    <row r="19" spans="1:16" ht="24.4" customHeight="1" x14ac:dyDescent="0.25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  <c r="P19" s="8"/>
    </row>
    <row r="20" spans="1:16" ht="24.4" customHeight="1" x14ac:dyDescent="0.25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  <c r="P20" s="8"/>
    </row>
    <row r="21" spans="1:16" ht="24.4" customHeight="1" x14ac:dyDescent="0.25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  <c r="P21" s="8"/>
    </row>
    <row r="22" spans="1:16" ht="24.4" customHeight="1" x14ac:dyDescent="0.25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  <c r="P22" s="8"/>
    </row>
    <row r="23" spans="1:16" ht="24.4" customHeight="1" x14ac:dyDescent="0.25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  <c r="P23" s="8"/>
    </row>
    <row r="24" spans="1:16" ht="24.4" customHeight="1" x14ac:dyDescent="0.25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  <c r="P24" s="8"/>
    </row>
    <row r="25" spans="1:16" ht="24.4" customHeight="1" x14ac:dyDescent="0.25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  <c r="P25" s="8"/>
    </row>
    <row r="26" spans="1:16" ht="24.4" customHeight="1" x14ac:dyDescent="0.25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  <c r="P26" s="8"/>
    </row>
    <row r="27" spans="1:16" ht="24.4" customHeight="1" x14ac:dyDescent="0.25">
      <c r="A27" s="8"/>
      <c r="B27" s="8"/>
      <c r="C27" s="8"/>
      <c r="D27" s="8"/>
      <c r="E27" s="8"/>
      <c r="F27" s="8"/>
      <c r="G27" s="8"/>
      <c r="H27" s="8"/>
      <c r="I27" s="8"/>
      <c r="J27" s="8"/>
      <c r="K27" s="8"/>
      <c r="L27" s="8"/>
      <c r="M27" s="8"/>
      <c r="N27" s="8"/>
      <c r="O27" s="8"/>
      <c r="P27" s="8"/>
    </row>
    <row r="28" spans="1:16" ht="24.4" customHeight="1" x14ac:dyDescent="0.25">
      <c r="A28" s="8"/>
      <c r="B28" s="8"/>
      <c r="C28" s="8"/>
      <c r="D28" s="8"/>
      <c r="E28" s="8"/>
      <c r="F28" s="8"/>
      <c r="G28" s="8"/>
      <c r="H28" s="8"/>
      <c r="I28" s="8"/>
      <c r="J28" s="8"/>
      <c r="K28" s="8"/>
      <c r="L28" s="8"/>
      <c r="M28" s="8"/>
      <c r="N28" s="8"/>
      <c r="O28" s="8"/>
      <c r="P28" s="8"/>
    </row>
    <row r="29" spans="1:16" ht="24.4" customHeight="1" x14ac:dyDescent="0.25">
      <c r="A29" s="8"/>
      <c r="B29" s="8"/>
      <c r="C29" s="8"/>
      <c r="D29" s="8"/>
      <c r="E29" s="8"/>
      <c r="F29" s="8"/>
      <c r="G29" s="8"/>
      <c r="H29" s="8"/>
      <c r="I29" s="8"/>
      <c r="J29" s="8"/>
      <c r="K29" s="8"/>
      <c r="L29" s="8"/>
      <c r="M29" s="8"/>
      <c r="N29" s="8"/>
      <c r="O29" s="8"/>
      <c r="P29" s="8"/>
    </row>
    <row r="30" spans="1:16" ht="24.4" customHeight="1" x14ac:dyDescent="0.25">
      <c r="A30" s="8"/>
      <c r="B30" s="8"/>
      <c r="C30" s="8"/>
      <c r="D30" s="8"/>
      <c r="E30" s="8"/>
      <c r="F30" s="8"/>
      <c r="G30" s="8"/>
      <c r="H30" s="8"/>
      <c r="I30" s="8"/>
      <c r="J30" s="8"/>
      <c r="K30" s="8"/>
      <c r="L30" s="8"/>
      <c r="M30" s="8"/>
      <c r="N30" s="8"/>
      <c r="O30" s="8"/>
      <c r="P30" s="8"/>
    </row>
    <row r="31" spans="1:16" ht="24.4" customHeight="1" x14ac:dyDescent="0.25">
      <c r="A31" s="8"/>
      <c r="B31" s="8"/>
      <c r="C31" s="8"/>
      <c r="D31" s="8"/>
      <c r="E31" s="8"/>
      <c r="F31" s="8"/>
      <c r="G31" s="8"/>
      <c r="H31" s="8"/>
      <c r="I31" s="8"/>
      <c r="J31" s="8"/>
      <c r="K31" s="8"/>
      <c r="L31" s="8"/>
      <c r="M31" s="8"/>
      <c r="N31" s="8"/>
      <c r="O31" s="8"/>
      <c r="P31" s="8"/>
    </row>
    <row r="32" spans="1:16" ht="24.4" customHeight="1" x14ac:dyDescent="0.25">
      <c r="A32" s="8"/>
      <c r="B32" s="8"/>
      <c r="C32" s="8"/>
      <c r="D32" s="8"/>
      <c r="E32" s="8"/>
      <c r="F32" s="8"/>
      <c r="G32" s="8"/>
      <c r="H32" s="8"/>
      <c r="I32" s="8"/>
      <c r="J32" s="8"/>
      <c r="K32" s="8"/>
      <c r="L32" s="8"/>
      <c r="M32" s="8"/>
      <c r="N32" s="8"/>
      <c r="O32" s="8"/>
      <c r="P32" s="8"/>
    </row>
    <row r="33" spans="1:16" ht="24.4" customHeight="1" x14ac:dyDescent="0.25">
      <c r="A33" s="8"/>
      <c r="B33" s="8"/>
      <c r="C33" s="8"/>
      <c r="D33" s="8"/>
      <c r="E33" s="8"/>
      <c r="F33" s="8"/>
      <c r="G33" s="8"/>
      <c r="H33" s="8"/>
      <c r="I33" s="8"/>
      <c r="J33" s="8"/>
      <c r="K33" s="8"/>
      <c r="L33" s="8"/>
      <c r="M33" s="8"/>
      <c r="N33" s="8"/>
      <c r="O33" s="8"/>
      <c r="P33" s="8"/>
    </row>
    <row r="34" spans="1:16" ht="24.4" customHeight="1" x14ac:dyDescent="0.25">
      <c r="A34" s="8"/>
      <c r="B34" s="8"/>
      <c r="C34" s="8"/>
      <c r="D34" s="8"/>
      <c r="E34" s="8"/>
      <c r="F34" s="8"/>
      <c r="G34" s="8"/>
      <c r="H34" s="8"/>
      <c r="I34" s="8"/>
      <c r="J34" s="8"/>
      <c r="K34" s="8"/>
      <c r="L34" s="8"/>
      <c r="M34" s="8"/>
      <c r="N34" s="8"/>
      <c r="O34" s="8"/>
      <c r="P34" s="8"/>
    </row>
    <row r="35" spans="1:16" ht="24.4" customHeight="1" x14ac:dyDescent="0.25">
      <c r="A35" s="8"/>
      <c r="B35" s="8"/>
      <c r="C35" s="8"/>
      <c r="D35" s="8"/>
      <c r="E35" s="8"/>
      <c r="F35" s="8"/>
      <c r="G35" s="8"/>
      <c r="H35" s="8"/>
      <c r="I35" s="8"/>
      <c r="J35" s="8"/>
      <c r="K35" s="8"/>
      <c r="L35" s="8"/>
      <c r="M35" s="8"/>
      <c r="N35" s="8"/>
      <c r="O35" s="8"/>
      <c r="P35" s="8"/>
    </row>
    <row r="36" spans="1:16" ht="24.4" customHeight="1" x14ac:dyDescent="0.25">
      <c r="A36" s="8"/>
      <c r="B36" s="8"/>
      <c r="C36" s="8"/>
      <c r="D36" s="8"/>
      <c r="E36" s="8"/>
      <c r="F36" s="8"/>
      <c r="G36" s="8"/>
      <c r="H36" s="8"/>
      <c r="I36" s="8"/>
      <c r="J36" s="8"/>
      <c r="K36" s="8"/>
      <c r="L36" s="8"/>
      <c r="M36" s="8"/>
      <c r="N36" s="8"/>
      <c r="O36" s="8"/>
      <c r="P36" s="8"/>
    </row>
    <row r="37" spans="1:16" ht="24.4" customHeight="1" x14ac:dyDescent="0.25">
      <c r="A37" s="8"/>
      <c r="B37" s="8"/>
      <c r="C37" s="8"/>
      <c r="D37" s="8"/>
      <c r="E37" s="8"/>
      <c r="F37" s="8"/>
      <c r="G37" s="8"/>
      <c r="H37" s="8"/>
      <c r="I37" s="8"/>
      <c r="J37" s="8"/>
      <c r="K37" s="8"/>
      <c r="L37" s="8"/>
      <c r="M37" s="8"/>
      <c r="N37" s="8"/>
      <c r="O37" s="8"/>
      <c r="P37" s="8"/>
    </row>
    <row r="38" spans="1:16" ht="24.4" customHeight="1" x14ac:dyDescent="0.25">
      <c r="A38" s="8"/>
      <c r="B38" s="8"/>
      <c r="C38" s="8"/>
      <c r="D38" s="8"/>
      <c r="E38" s="8"/>
      <c r="F38" s="8"/>
      <c r="G38" s="8"/>
      <c r="H38" s="8"/>
      <c r="I38" s="8"/>
      <c r="J38" s="8"/>
      <c r="K38" s="8"/>
      <c r="L38" s="8"/>
      <c r="M38" s="8"/>
      <c r="N38" s="8"/>
      <c r="O38" s="8"/>
      <c r="P38" s="8"/>
    </row>
    <row r="39" spans="1:16" ht="24.4" customHeight="1" x14ac:dyDescent="0.25">
      <c r="A39" s="8"/>
      <c r="B39" s="8"/>
      <c r="C39" s="8"/>
      <c r="D39" s="8"/>
      <c r="E39" s="8"/>
      <c r="F39" s="8"/>
      <c r="G39" s="8"/>
      <c r="H39" s="8"/>
      <c r="I39" s="8"/>
      <c r="J39" s="8"/>
      <c r="K39" s="8"/>
      <c r="L39" s="8"/>
      <c r="M39" s="8"/>
      <c r="N39" s="8"/>
      <c r="O39" s="8"/>
      <c r="P39" s="8"/>
    </row>
    <row r="40" spans="1:16" ht="15" customHeight="1" x14ac:dyDescent="0.25">
      <c r="A40" s="14" t="s">
        <v>49</v>
      </c>
      <c r="B40" s="15"/>
      <c r="C40" s="15"/>
      <c r="D40" s="15"/>
      <c r="E40" s="15"/>
      <c r="F40" s="15"/>
      <c r="G40" s="15"/>
      <c r="H40" s="15"/>
      <c r="I40" s="15"/>
      <c r="J40" s="15"/>
      <c r="K40" s="15"/>
      <c r="L40" s="15"/>
      <c r="M40" s="15"/>
      <c r="N40" s="15"/>
      <c r="O40" s="15"/>
      <c r="P40" s="15"/>
    </row>
  </sheetData>
  <mergeCells count="16">
    <mergeCell ref="A1:P2"/>
    <mergeCell ref="H4:J4"/>
    <mergeCell ref="E6:H6"/>
    <mergeCell ref="C4:E4"/>
    <mergeCell ref="I6:L6"/>
    <mergeCell ref="M6:P6"/>
    <mergeCell ref="K4:L4"/>
    <mergeCell ref="A4:B4"/>
    <mergeCell ref="F4:G4"/>
    <mergeCell ref="M4:P4"/>
    <mergeCell ref="A6:D6"/>
    <mergeCell ref="A40:P40"/>
    <mergeCell ref="A7:D8"/>
    <mergeCell ref="E7:H8"/>
    <mergeCell ref="I7:L8"/>
    <mergeCell ref="M7:P8"/>
  </mergeCells>
  <pageMargins left="0.75" right="0.75" top="1" bottom="1" header="0.511811023622047" footer="0.511811023622047"/>
  <pageSetup paperSize="9" orientation="portrait" horizontalDpi="300" verticalDpi="300"/>
  <drawing r:id="rId1"/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xr:uid="{00000000-0002-0000-0200-000000000000}">
          <x14:formula1>
            <xm:f>_Dashboard_Helper!$A$2:$A$4</xm:f>
          </x14:formula1>
          <x14:formula2>
            <xm:f>0</xm:f>
          </x14:formula2>
          <xm:sqref>C4</xm:sqref>
        </x14:dataValidation>
        <x14:dataValidation type="list" xr:uid="{00000000-0002-0000-0200-000001000000}">
          <x14:formula1>
            <xm:f>_Dashboard_Helper!$B$2:$B$6</xm:f>
          </x14:formula1>
          <x14:formula2>
            <xm:f>0</xm:f>
          </x14:formula2>
          <xm:sqref>H4</xm:sqref>
        </x14:dataValidation>
        <x14:dataValidation type="list" xr:uid="{00000000-0002-0000-0200-000002000000}">
          <x14:formula1>
            <xm:f>_Dashboard_Helper!$C$2:$C$11</xm:f>
          </x14:formula1>
          <x14:formula2>
            <xm:f>0</xm:f>
          </x14:formula2>
          <xm:sqref>M4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S13"/>
  <sheetViews>
    <sheetView zoomScaleNormal="100" workbookViewId="0"/>
  </sheetViews>
  <sheetFormatPr defaultColWidth="8.7109375" defaultRowHeight="15" customHeight="1" x14ac:dyDescent="0.25"/>
  <sheetData>
    <row r="1" spans="1:19" ht="15" customHeight="1" x14ac:dyDescent="0.25">
      <c r="A1" t="s">
        <v>5</v>
      </c>
      <c r="B1" t="s">
        <v>6</v>
      </c>
      <c r="C1" t="s">
        <v>15</v>
      </c>
      <c r="E1" t="s">
        <v>50</v>
      </c>
      <c r="F1" t="s">
        <v>29</v>
      </c>
      <c r="I1" t="s">
        <v>5</v>
      </c>
      <c r="J1" t="s">
        <v>29</v>
      </c>
      <c r="L1" t="s">
        <v>6</v>
      </c>
      <c r="M1" t="s">
        <v>29</v>
      </c>
      <c r="O1" t="s">
        <v>15</v>
      </c>
      <c r="P1" t="s">
        <v>29</v>
      </c>
      <c r="R1" t="s">
        <v>51</v>
      </c>
      <c r="S1" t="s">
        <v>29</v>
      </c>
    </row>
    <row r="2" spans="1:19" ht="15" customHeight="1" x14ac:dyDescent="0.25">
      <c r="A2" t="s">
        <v>43</v>
      </c>
      <c r="B2" t="s">
        <v>43</v>
      </c>
      <c r="C2" t="s">
        <v>43</v>
      </c>
      <c r="E2" t="s">
        <v>52</v>
      </c>
      <c r="F2">
        <f>SUMIFS(' Sales analysis'!$H$2:$H$1001,' Sales analysis'!$E$2:$E$1001,IF('Interactive Dashboard'!$C$4="All","&lt;&gt;",'Interactive Dashboard'!$C$4),' Sales analysis'!$F$2:$F$1001,IF('Interactive Dashboard'!$H$4="All","&lt;&gt;",'Interactive Dashboard'!$H$4),' Sales analysis'!$C$2:$C$1001,IF('Interactive Dashboard'!$M$4="All","&lt;&gt;",'Interactive Dashboard'!$M$4),' Sales analysis'!$B$2:$B$1001,"&gt;="&amp;DATE(2025,1,1),' Sales analysis'!$B$2:$B$1001,"&lt;"&amp;EDATE(DATE(2025,1,1),1))</f>
        <v>3511075.3000000007</v>
      </c>
      <c r="I2" t="s">
        <v>8</v>
      </c>
      <c r="J2">
        <f>SUMIFS(' Sales analysis'!$H$2:$H$1001,' Sales analysis'!$E$2:$E$1001,I2,' Sales analysis'!$E$2:$E$1001,IF('Interactive Dashboard'!$C$4="All","&lt;&gt;",'Interactive Dashboard'!$C$4),' Sales analysis'!$F$2:$F$1001,IF('Interactive Dashboard'!$H$4="All","&lt;&gt;",'Interactive Dashboard'!$H$4),' Sales analysis'!$C$2:$C$1001,IF('Interactive Dashboard'!$M$4="All","&lt;&gt;",'Interactive Dashboard'!$M$4))</f>
        <v>9579344.5700000022</v>
      </c>
      <c r="L2" t="s">
        <v>9</v>
      </c>
      <c r="M2">
        <f>SUMIFS(' Sales analysis'!$H$2:$H$1001,' Sales analysis'!$F$2:$F$1001,L2,' Sales analysis'!$E$2:$E$1001,IF('Interactive Dashboard'!$C$4="All","&lt;&gt;",'Interactive Dashboard'!$C$4),' Sales analysis'!$F$2:$F$1001,IF('Interactive Dashboard'!$H$4="All","&lt;&gt;",'Interactive Dashboard'!$H$4),' Sales analysis'!$C$2:$C$1001,IF('Interactive Dashboard'!$M$4="All","&lt;&gt;",'Interactive Dashboard'!$M$4))</f>
        <v>8744277.3400000017</v>
      </c>
      <c r="O2" t="s">
        <v>18</v>
      </c>
      <c r="P2">
        <f>SUMIFS(' Sales analysis'!$H$2:$H$1001,' Sales analysis'!$C$2:$C$1001,O2,' Sales analysis'!$E$2:$E$1001,IF('Interactive Dashboard'!$C$4="All","&lt;&gt;",'Interactive Dashboard'!$C$4),' Sales analysis'!$F$2:$F$1001,IF('Interactive Dashboard'!$H$4="All","&lt;&gt;",'Interactive Dashboard'!$H$4),' Sales analysis'!$C$2:$C$1001,IF('Interactive Dashboard'!$M$4="All","&lt;&gt;",'Interactive Dashboard'!$M$4))</f>
        <v>5489480.799999998</v>
      </c>
      <c r="R2" t="str">
        <f t="shared" ref="R2:R11" si="0">IFERROR(INDEX($O$2:$O$10,MATCH(S2,$P$2:$P$10,0)),"")</f>
        <v>Ananya</v>
      </c>
      <c r="S2">
        <f>IFERROR(LARGE($P$2:$P$10,1),0)</f>
        <v>5489480.799999998</v>
      </c>
    </row>
    <row r="3" spans="1:19" ht="15" customHeight="1" x14ac:dyDescent="0.25">
      <c r="A3" t="s">
        <v>8</v>
      </c>
      <c r="B3" t="s">
        <v>9</v>
      </c>
      <c r="C3" t="s">
        <v>18</v>
      </c>
      <c r="E3" t="s">
        <v>53</v>
      </c>
      <c r="F3">
        <f>SUMIFS(' Sales analysis'!$H$2:$H$1001,' Sales analysis'!$E$2:$E$1001,IF('Interactive Dashboard'!$C$4="All","&lt;&gt;",'Interactive Dashboard'!$C$4),' Sales analysis'!$F$2:$F$1001,IF('Interactive Dashboard'!$H$4="All","&lt;&gt;",'Interactive Dashboard'!$H$4),' Sales analysis'!$C$2:$C$1001,IF('Interactive Dashboard'!$M$4="All","&lt;&gt;",'Interactive Dashboard'!$M$4),' Sales analysis'!$B$2:$B$1001,"&gt;="&amp;DATE(2025,2,1),' Sales analysis'!$B$2:$B$1001,"&lt;"&amp;EDATE(DATE(2025,2,1),1))</f>
        <v>2986620.15</v>
      </c>
      <c r="I3" t="s">
        <v>10</v>
      </c>
      <c r="J3">
        <f>SUMIFS(' Sales analysis'!$H$2:$H$1001,' Sales analysis'!$E$2:$E$1001,I3,' Sales analysis'!$E$2:$E$1001,IF('Interactive Dashboard'!$C$4="All","&lt;&gt;",'Interactive Dashboard'!$C$4),' Sales analysis'!$F$2:$F$1001,IF('Interactive Dashboard'!$H$4="All","&lt;&gt;",'Interactive Dashboard'!$H$4),' Sales analysis'!$C$2:$C$1001,IF('Interactive Dashboard'!$M$4="All","&lt;&gt;",'Interactive Dashboard'!$M$4))</f>
        <v>28034588.250000007</v>
      </c>
      <c r="L3" t="s">
        <v>11</v>
      </c>
      <c r="M3">
        <f>SUMIFS(' Sales analysis'!$H$2:$H$1001,' Sales analysis'!$F$2:$F$1001,L3,' Sales analysis'!$E$2:$E$1001,IF('Interactive Dashboard'!$C$4="All","&lt;&gt;",'Interactive Dashboard'!$C$4),' Sales analysis'!$F$2:$F$1001,IF('Interactive Dashboard'!$H$4="All","&lt;&gt;",'Interactive Dashboard'!$H$4),' Sales analysis'!$C$2:$C$1001,IF('Interactive Dashboard'!$M$4="All","&lt;&gt;",'Interactive Dashboard'!$M$4))</f>
        <v>9169887.7899999954</v>
      </c>
      <c r="O3" t="s">
        <v>20</v>
      </c>
      <c r="P3">
        <f>SUMIFS(' Sales analysis'!$H$2:$H$1001,' Sales analysis'!$C$2:$C$1001,O3,' Sales analysis'!$E$2:$E$1001,IF('Interactive Dashboard'!$C$4="All","&lt;&gt;",'Interactive Dashboard'!$C$4),' Sales analysis'!$F$2:$F$1001,IF('Interactive Dashboard'!$H$4="All","&lt;&gt;",'Interactive Dashboard'!$H$4),' Sales analysis'!$C$2:$C$1001,IF('Interactive Dashboard'!$M$4="All","&lt;&gt;",'Interactive Dashboard'!$M$4))</f>
        <v>5382946.6099999994</v>
      </c>
      <c r="R3" t="str">
        <f t="shared" si="0"/>
        <v>Neha</v>
      </c>
      <c r="S3">
        <f>IFERROR(LARGE($P$2:$P$10,2),0)</f>
        <v>5386624.1800000034</v>
      </c>
    </row>
    <row r="4" spans="1:19" ht="15" customHeight="1" x14ac:dyDescent="0.25">
      <c r="A4" t="s">
        <v>10</v>
      </c>
      <c r="B4" t="s">
        <v>11</v>
      </c>
      <c r="C4" t="s">
        <v>20</v>
      </c>
      <c r="E4" t="s">
        <v>54</v>
      </c>
      <c r="F4">
        <f>SUMIFS(' Sales analysis'!$H$2:$H$1001,' Sales analysis'!$E$2:$E$1001,IF('Interactive Dashboard'!$C$4="All","&lt;&gt;",'Interactive Dashboard'!$C$4),' Sales analysis'!$F$2:$F$1001,IF('Interactive Dashboard'!$H$4="All","&lt;&gt;",'Interactive Dashboard'!$H$4),' Sales analysis'!$C$2:$C$1001,IF('Interactive Dashboard'!$M$4="All","&lt;&gt;",'Interactive Dashboard'!$M$4),' Sales analysis'!$B$2:$B$1001,"&gt;="&amp;DATE(2025,3,1),' Sales analysis'!$B$2:$B$1001,"&lt;"&amp;EDATE(DATE(2025,3,1),1))</f>
        <v>3321371.3400000008</v>
      </c>
      <c r="L4" t="s">
        <v>12</v>
      </c>
      <c r="M4">
        <f>SUMIFS(' Sales analysis'!$H$2:$H$1001,' Sales analysis'!$F$2:$F$1001,L4,' Sales analysis'!$E$2:$E$1001,IF('Interactive Dashboard'!$C$4="All","&lt;&gt;",'Interactive Dashboard'!$C$4),' Sales analysis'!$F$2:$F$1001,IF('Interactive Dashboard'!$H$4="All","&lt;&gt;",'Interactive Dashboard'!$H$4),' Sales analysis'!$C$2:$C$1001,IF('Interactive Dashboard'!$M$4="All","&lt;&gt;",'Interactive Dashboard'!$M$4))</f>
        <v>9321539.8299999926</v>
      </c>
      <c r="O4" t="s">
        <v>23</v>
      </c>
      <c r="P4">
        <f>SUMIFS(' Sales analysis'!$H$2:$H$1001,' Sales analysis'!$C$2:$C$1001,O4,' Sales analysis'!$E$2:$E$1001,IF('Interactive Dashboard'!$C$4="All","&lt;&gt;",'Interactive Dashboard'!$C$4),' Sales analysis'!$F$2:$F$1001,IF('Interactive Dashboard'!$H$4="All","&lt;&gt;",'Interactive Dashboard'!$H$4),' Sales analysis'!$C$2:$C$1001,IF('Interactive Dashboard'!$M$4="All","&lt;&gt;",'Interactive Dashboard'!$M$4))</f>
        <v>4179045.839999998</v>
      </c>
      <c r="R4" t="str">
        <f t="shared" si="0"/>
        <v>Priya</v>
      </c>
      <c r="S4">
        <f>IFERROR(LARGE($P$2:$P$10,3),0)</f>
        <v>5382946.6099999994</v>
      </c>
    </row>
    <row r="5" spans="1:19" ht="15" customHeight="1" x14ac:dyDescent="0.25">
      <c r="B5" t="s">
        <v>12</v>
      </c>
      <c r="C5" t="s">
        <v>23</v>
      </c>
      <c r="E5" t="s">
        <v>55</v>
      </c>
      <c r="F5">
        <f>SUMIFS(' Sales analysis'!$H$2:$H$1001,' Sales analysis'!$E$2:$E$1001,IF('Interactive Dashboard'!$C$4="All","&lt;&gt;",'Interactive Dashboard'!$C$4),' Sales analysis'!$F$2:$F$1001,IF('Interactive Dashboard'!$H$4="All","&lt;&gt;",'Interactive Dashboard'!$H$4),' Sales analysis'!$C$2:$C$1001,IF('Interactive Dashboard'!$M$4="All","&lt;&gt;",'Interactive Dashboard'!$M$4),' Sales analysis'!$B$2:$B$1001,"&gt;="&amp;DATE(2025,4,1),' Sales analysis'!$B$2:$B$1001,"&lt;"&amp;EDATE(DATE(2025,4,1),1))</f>
        <v>3311249.3699999992</v>
      </c>
      <c r="L5" t="s">
        <v>13</v>
      </c>
      <c r="M5">
        <f>SUMIFS(' Sales analysis'!$H$2:$H$1001,' Sales analysis'!$F$2:$F$1001,L5,' Sales analysis'!$E$2:$E$1001,IF('Interactive Dashboard'!$C$4="All","&lt;&gt;",'Interactive Dashboard'!$C$4),' Sales analysis'!$F$2:$F$1001,IF('Interactive Dashboard'!$H$4="All","&lt;&gt;",'Interactive Dashboard'!$H$4),' Sales analysis'!$C$2:$C$1001,IF('Interactive Dashboard'!$M$4="All","&lt;&gt;",'Interactive Dashboard'!$M$4))</f>
        <v>10378227.860000007</v>
      </c>
      <c r="O5" t="s">
        <v>21</v>
      </c>
      <c r="P5">
        <f>SUMIFS(' Sales analysis'!$H$2:$H$1001,' Sales analysis'!$C$2:$C$1001,O5,' Sales analysis'!$E$2:$E$1001,IF('Interactive Dashboard'!$C$4="All","&lt;&gt;",'Interactive Dashboard'!$C$4),' Sales analysis'!$F$2:$F$1001,IF('Interactive Dashboard'!$H$4="All","&lt;&gt;",'Interactive Dashboard'!$H$4),' Sales analysis'!$C$2:$C$1001,IF('Interactive Dashboard'!$M$4="All","&lt;&gt;",'Interactive Dashboard'!$M$4))</f>
        <v>3886212.0000000009</v>
      </c>
      <c r="R5" t="str">
        <f t="shared" si="0"/>
        <v>Rohan</v>
      </c>
      <c r="S5">
        <f>IFERROR(LARGE($P$2:$P$10,4),0)</f>
        <v>4478718.5999999996</v>
      </c>
    </row>
    <row r="6" spans="1:19" ht="15" customHeight="1" x14ac:dyDescent="0.25">
      <c r="B6" t="s">
        <v>13</v>
      </c>
      <c r="C6" t="s">
        <v>21</v>
      </c>
      <c r="E6" t="s">
        <v>56</v>
      </c>
      <c r="F6">
        <f>SUMIFS(' Sales analysis'!$H$2:$H$1001,' Sales analysis'!$E$2:$E$1001,IF('Interactive Dashboard'!$C$4="All","&lt;&gt;",'Interactive Dashboard'!$C$4),' Sales analysis'!$F$2:$F$1001,IF('Interactive Dashboard'!$H$4="All","&lt;&gt;",'Interactive Dashboard'!$H$4),' Sales analysis'!$C$2:$C$1001,IF('Interactive Dashboard'!$M$4="All","&lt;&gt;",'Interactive Dashboard'!$M$4),' Sales analysis'!$B$2:$B$1001,"&gt;="&amp;DATE(2025,5,1),' Sales analysis'!$B$2:$B$1001,"&lt;"&amp;EDATE(DATE(2025,5,1),1))</f>
        <v>3168773.9300000006</v>
      </c>
      <c r="O6" t="s">
        <v>22</v>
      </c>
      <c r="P6">
        <f>SUMIFS(' Sales analysis'!$H$2:$H$1001,' Sales analysis'!$C$2:$C$1001,O6,' Sales analysis'!$E$2:$E$1001,IF('Interactive Dashboard'!$C$4="All","&lt;&gt;",'Interactive Dashboard'!$C$4),' Sales analysis'!$F$2:$F$1001,IF('Interactive Dashboard'!$H$4="All","&lt;&gt;",'Interactive Dashboard'!$H$4),' Sales analysis'!$C$2:$C$1001,IF('Interactive Dashboard'!$M$4="All","&lt;&gt;",'Interactive Dashboard'!$M$4))</f>
        <v>4478718.5999999996</v>
      </c>
      <c r="R6" t="str">
        <f t="shared" si="0"/>
        <v>Vikram</v>
      </c>
      <c r="S6">
        <f>IFERROR(LARGE($P$2:$P$10,5),0)</f>
        <v>4421428.4300000016</v>
      </c>
    </row>
    <row r="7" spans="1:19" ht="15" customHeight="1" x14ac:dyDescent="0.25">
      <c r="C7" t="s">
        <v>22</v>
      </c>
      <c r="E7" t="s">
        <v>57</v>
      </c>
      <c r="F7">
        <f>SUMIFS(' Sales analysis'!$H$2:$H$1001,' Sales analysis'!$E$2:$E$1001,IF('Interactive Dashboard'!$C$4="All","&lt;&gt;",'Interactive Dashboard'!$C$4),' Sales analysis'!$F$2:$F$1001,IF('Interactive Dashboard'!$H$4="All","&lt;&gt;",'Interactive Dashboard'!$H$4),' Sales analysis'!$C$2:$C$1001,IF('Interactive Dashboard'!$M$4="All","&lt;&gt;",'Interactive Dashboard'!$M$4),' Sales analysis'!$B$2:$B$1001,"&gt;="&amp;DATE(2025,6,1),' Sales analysis'!$B$2:$B$1001,"&lt;"&amp;EDATE(DATE(2025,6,1),1))</f>
        <v>2952237.0200000005</v>
      </c>
      <c r="O7" t="s">
        <v>25</v>
      </c>
      <c r="P7">
        <f>SUMIFS(' Sales analysis'!$H$2:$H$1001,' Sales analysis'!$C$2:$C$1001,O7,' Sales analysis'!$E$2:$E$1001,IF('Interactive Dashboard'!$C$4="All","&lt;&gt;",'Interactive Dashboard'!$C$4),' Sales analysis'!$F$2:$F$1001,IF('Interactive Dashboard'!$H$4="All","&lt;&gt;",'Interactive Dashboard'!$H$4),' Sales analysis'!$C$2:$C$1001,IF('Interactive Dashboard'!$M$4="All","&lt;&gt;",'Interactive Dashboard'!$M$4))</f>
        <v>4421428.4300000016</v>
      </c>
      <c r="R7" t="str">
        <f t="shared" si="0"/>
        <v>Aarav</v>
      </c>
      <c r="S7">
        <f>IFERROR(LARGE($P$2:$P$10,6),0)</f>
        <v>4288975.6599999974</v>
      </c>
    </row>
    <row r="8" spans="1:19" ht="15" customHeight="1" x14ac:dyDescent="0.25">
      <c r="C8" t="s">
        <v>25</v>
      </c>
      <c r="E8" t="s">
        <v>58</v>
      </c>
      <c r="F8">
        <f>SUMIFS(' Sales analysis'!$H$2:$H$1001,' Sales analysis'!$E$2:$E$1001,IF('Interactive Dashboard'!$C$4="All","&lt;&gt;",'Interactive Dashboard'!$C$4),' Sales analysis'!$F$2:$F$1001,IF('Interactive Dashboard'!$H$4="All","&lt;&gt;",'Interactive Dashboard'!$H$4),' Sales analysis'!$C$2:$C$1001,IF('Interactive Dashboard'!$M$4="All","&lt;&gt;",'Interactive Dashboard'!$M$4),' Sales analysis'!$B$2:$B$1001,"&gt;="&amp;DATE(2025,7,1),' Sales analysis'!$B$2:$B$1001,"&lt;"&amp;EDATE(DATE(2025,7,1),1))</f>
        <v>2548735.34</v>
      </c>
      <c r="O8" t="s">
        <v>19</v>
      </c>
      <c r="P8">
        <f>SUMIFS(' Sales analysis'!$H$2:$H$1001,' Sales analysis'!$C$2:$C$1001,O8,' Sales analysis'!$E$2:$E$1001,IF('Interactive Dashboard'!$C$4="All","&lt;&gt;",'Interactive Dashboard'!$C$4),' Sales analysis'!$F$2:$F$1001,IF('Interactive Dashboard'!$H$4="All","&lt;&gt;",'Interactive Dashboard'!$H$4),' Sales analysis'!$C$2:$C$1001,IF('Interactive Dashboard'!$M$4="All","&lt;&gt;",'Interactive Dashboard'!$M$4))</f>
        <v>5386624.1800000034</v>
      </c>
      <c r="R8" t="str">
        <f t="shared" si="0"/>
        <v>Sneha</v>
      </c>
      <c r="S8">
        <f>IFERROR(LARGE($P$2:$P$10,7),0)</f>
        <v>4179045.839999998</v>
      </c>
    </row>
    <row r="9" spans="1:19" ht="15" customHeight="1" x14ac:dyDescent="0.25">
      <c r="C9" t="s">
        <v>19</v>
      </c>
      <c r="E9" t="s">
        <v>59</v>
      </c>
      <c r="F9">
        <f>SUMIFS(' Sales analysis'!$H$2:$H$1001,' Sales analysis'!$E$2:$E$1001,IF('Interactive Dashboard'!$C$4="All","&lt;&gt;",'Interactive Dashboard'!$C$4),' Sales analysis'!$F$2:$F$1001,IF('Interactive Dashboard'!$H$4="All","&lt;&gt;",'Interactive Dashboard'!$H$4),' Sales analysis'!$C$2:$C$1001,IF('Interactive Dashboard'!$M$4="All","&lt;&gt;",'Interactive Dashboard'!$M$4),' Sales analysis'!$B$2:$B$1001,"&gt;="&amp;DATE(2025,8,1),' Sales analysis'!$B$2:$B$1001,"&lt;"&amp;EDATE(DATE(2025,8,1),1))</f>
        <v>3665492.13</v>
      </c>
      <c r="O9" t="s">
        <v>24</v>
      </c>
      <c r="P9">
        <f>SUMIFS(' Sales analysis'!$H$2:$H$1001,' Sales analysis'!$C$2:$C$1001,O9,' Sales analysis'!$E$2:$E$1001,IF('Interactive Dashboard'!$C$4="All","&lt;&gt;",'Interactive Dashboard'!$C$4),' Sales analysis'!$F$2:$F$1001,IF('Interactive Dashboard'!$H$4="All","&lt;&gt;",'Interactive Dashboard'!$H$4),' Sales analysis'!$C$2:$C$1001,IF('Interactive Dashboard'!$M$4="All","&lt;&gt;",'Interactive Dashboard'!$M$4))</f>
        <v>100500.7</v>
      </c>
      <c r="R9" t="str">
        <f t="shared" si="0"/>
        <v>Rahul</v>
      </c>
      <c r="S9">
        <f>IFERROR(LARGE($P$2:$P$10,8),0)</f>
        <v>3886212.0000000009</v>
      </c>
    </row>
    <row r="10" spans="1:19" ht="15" customHeight="1" x14ac:dyDescent="0.25">
      <c r="C10" t="s">
        <v>24</v>
      </c>
      <c r="E10" t="s">
        <v>60</v>
      </c>
      <c r="F10">
        <f>SUMIFS(' Sales analysis'!$H$2:$H$1001,' Sales analysis'!$E$2:$E$1001,IF('Interactive Dashboard'!$C$4="All","&lt;&gt;",'Interactive Dashboard'!$C$4),' Sales analysis'!$F$2:$F$1001,IF('Interactive Dashboard'!$H$4="All","&lt;&gt;",'Interactive Dashboard'!$H$4),' Sales analysis'!$C$2:$C$1001,IF('Interactive Dashboard'!$M$4="All","&lt;&gt;",'Interactive Dashboard'!$M$4),' Sales analysis'!$B$2:$B$1001,"&gt;="&amp;DATE(2025,9,1),' Sales analysis'!$B$2:$B$1001,"&lt;"&amp;EDATE(DATE(2025,9,1),1))</f>
        <v>2742406.05</v>
      </c>
      <c r="O10" t="s">
        <v>17</v>
      </c>
      <c r="P10">
        <f>SUMIFS(' Sales analysis'!$H$2:$H$1001,' Sales analysis'!$C$2:$C$1001,O10,' Sales analysis'!$E$2:$E$1001,IF('Interactive Dashboard'!$C$4="All","&lt;&gt;",'Interactive Dashboard'!$C$4),' Sales analysis'!$F$2:$F$1001,IF('Interactive Dashboard'!$H$4="All","&lt;&gt;",'Interactive Dashboard'!$H$4),' Sales analysis'!$C$2:$C$1001,IF('Interactive Dashboard'!$M$4="All","&lt;&gt;",'Interactive Dashboard'!$M$4))</f>
        <v>4288975.6599999974</v>
      </c>
      <c r="R10" t="str">
        <f t="shared" si="0"/>
        <v>Unknown</v>
      </c>
      <c r="S10">
        <f>IFERROR(LARGE($P$2:$P$10,9),0)</f>
        <v>100500.7</v>
      </c>
    </row>
    <row r="11" spans="1:19" ht="15" customHeight="1" x14ac:dyDescent="0.25">
      <c r="C11" t="s">
        <v>17</v>
      </c>
      <c r="E11" t="s">
        <v>61</v>
      </c>
      <c r="F11">
        <f>SUMIFS(' Sales analysis'!$H$2:$H$1001,' Sales analysis'!$E$2:$E$1001,IF('Interactive Dashboard'!$C$4="All","&lt;&gt;",'Interactive Dashboard'!$C$4),' Sales analysis'!$F$2:$F$1001,IF('Interactive Dashboard'!$H$4="All","&lt;&gt;",'Interactive Dashboard'!$H$4),' Sales analysis'!$C$2:$C$1001,IF('Interactive Dashboard'!$M$4="All","&lt;&gt;",'Interactive Dashboard'!$M$4),' Sales analysis'!$B$2:$B$1001,"&gt;="&amp;DATE(2025,10,1),' Sales analysis'!$B$2:$B$1001,"&lt;"&amp;EDATE(DATE(2025,10,1),1))</f>
        <v>3161107.77</v>
      </c>
      <c r="R11" t="str">
        <f t="shared" si="0"/>
        <v/>
      </c>
      <c r="S11">
        <f>IFERROR(LARGE($P$2:$P$10,10),0)</f>
        <v>0</v>
      </c>
    </row>
    <row r="12" spans="1:19" ht="15" customHeight="1" x14ac:dyDescent="0.25">
      <c r="E12" t="s">
        <v>62</v>
      </c>
      <c r="F12">
        <f>SUMIFS(' Sales analysis'!$H$2:$H$1001,' Sales analysis'!$E$2:$E$1001,IF('Interactive Dashboard'!$C$4="All","&lt;&gt;",'Interactive Dashboard'!$C$4),' Sales analysis'!$F$2:$F$1001,IF('Interactive Dashboard'!$H$4="All","&lt;&gt;",'Interactive Dashboard'!$H$4),' Sales analysis'!$C$2:$C$1001,IF('Interactive Dashboard'!$M$4="All","&lt;&gt;",'Interactive Dashboard'!$M$4),' Sales analysis'!$B$2:$B$1001,"&gt;="&amp;DATE(2025,11,1),' Sales analysis'!$B$2:$B$1001,"&lt;"&amp;EDATE(DATE(2025,11,1),1))</f>
        <v>3077908.82</v>
      </c>
    </row>
    <row r="13" spans="1:19" ht="15" customHeight="1" x14ac:dyDescent="0.25">
      <c r="E13" t="s">
        <v>63</v>
      </c>
      <c r="F13">
        <f>SUMIFS(' Sales analysis'!$H$2:$H$1001,' Sales analysis'!$E$2:$E$1001,IF('Interactive Dashboard'!$C$4="All","&lt;&gt;",'Interactive Dashboard'!$C$4),' Sales analysis'!$F$2:$F$1001,IF('Interactive Dashboard'!$H$4="All","&lt;&gt;",'Interactive Dashboard'!$H$4),' Sales analysis'!$C$2:$C$1001,IF('Interactive Dashboard'!$M$4="All","&lt;&gt;",'Interactive Dashboard'!$M$4),' Sales analysis'!$B$2:$B$1001,"&gt;="&amp;DATE(2025,12,1),' Sales analysis'!$B$2:$B$1001,"&lt;"&amp;EDATE(DATE(2025,12,1),1))</f>
        <v>3166955.5999999996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 Sales analysis</vt:lpstr>
      <vt:lpstr> Pivot analysis</vt:lpstr>
      <vt:lpstr>Interactive Dashboard</vt:lpstr>
      <vt:lpstr>_Dashboard_Helper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Sandeep chauhan</cp:lastModifiedBy>
  <cp:revision>0</cp:revision>
  <dcterms:created xsi:type="dcterms:W3CDTF">2026-08-17T01:09:42Z</dcterms:created>
  <dcterms:modified xsi:type="dcterms:W3CDTF">2026-09-09T20:36:27Z</dcterms:modified>
  <dc:language>en-US</dc:language>
</cp:coreProperties>
</file>